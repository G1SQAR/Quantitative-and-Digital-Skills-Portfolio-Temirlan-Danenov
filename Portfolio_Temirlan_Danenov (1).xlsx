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ve company" sheetId="1" r:id="rId5"/>
    <sheet state="visible" name="Take-Two company" sheetId="2" r:id="rId6"/>
    <sheet state="visible" name="Combine" sheetId="3" r:id="rId7"/>
    <sheet state="visible" name="S&amp;P500" sheetId="4" r:id="rId8"/>
    <sheet state="visible" name="Regression" sheetId="5" r:id="rId9"/>
  </sheets>
  <definedNames/>
  <calcPr/>
</workbook>
</file>

<file path=xl/sharedStrings.xml><?xml version="1.0" encoding="utf-8"?>
<sst xmlns="http://schemas.openxmlformats.org/spreadsheetml/2006/main" count="113" uniqueCount="89">
  <si>
    <t>Date</t>
  </si>
  <si>
    <t>Open</t>
  </si>
  <si>
    <t>High</t>
  </si>
  <si>
    <t>Low</t>
  </si>
  <si>
    <t>Close</t>
  </si>
  <si>
    <t>Adj Close</t>
  </si>
  <si>
    <t>Volume</t>
  </si>
  <si>
    <t>Finance.yahoo.com</t>
  </si>
  <si>
    <t>Value Valves Co., Ltd. (4580.TWO)</t>
  </si>
  <si>
    <t>-</t>
  </si>
  <si>
    <t>5.001717 Dividend</t>
  </si>
  <si>
    <t xml:space="preserve">Take-Two Interactive Software, Inc. (TTWO)
</t>
  </si>
  <si>
    <t>4580.TWO</t>
  </si>
  <si>
    <t>TTWO</t>
  </si>
  <si>
    <t>Weekly return for 4580.TWO</t>
  </si>
  <si>
    <t>Weekly return for  TTWO</t>
  </si>
  <si>
    <t>Dataset Descriptions</t>
  </si>
  <si>
    <t>Covariance &amp; Correlation coefficient</t>
  </si>
  <si>
    <t>Sharpe Ratio</t>
  </si>
  <si>
    <t>Comparison of risk (Variance)</t>
  </si>
  <si>
    <t>Covariance</t>
  </si>
  <si>
    <t>Valve Company</t>
  </si>
  <si>
    <t>V</t>
  </si>
  <si>
    <t>Max</t>
  </si>
  <si>
    <t>Correlation coefficient</t>
  </si>
  <si>
    <t>Sharpe ratio</t>
  </si>
  <si>
    <t>Take-Two Company</t>
  </si>
  <si>
    <t>T</t>
  </si>
  <si>
    <t>Min</t>
  </si>
  <si>
    <t>H0:</t>
  </si>
  <si>
    <t>σ^2(T)​=σ^2(V)​</t>
  </si>
  <si>
    <t>Range</t>
  </si>
  <si>
    <t>One year T.bill</t>
  </si>
  <si>
    <t>HA:</t>
  </si>
  <si>
    <t>σ^2(T) &gt;​σ^2(V)​</t>
  </si>
  <si>
    <t>One week T.bill</t>
  </si>
  <si>
    <t>Q3</t>
  </si>
  <si>
    <t>n</t>
  </si>
  <si>
    <t>Q1</t>
  </si>
  <si>
    <t>df1</t>
  </si>
  <si>
    <t>IQR</t>
  </si>
  <si>
    <t>df2</t>
  </si>
  <si>
    <t>Fence</t>
  </si>
  <si>
    <t>F(df1, df2)</t>
  </si>
  <si>
    <t>S(T)/S(V)</t>
  </si>
  <si>
    <t>Upper fence</t>
  </si>
  <si>
    <t>F(53, 53)</t>
  </si>
  <si>
    <t>Lower fence</t>
  </si>
  <si>
    <t xml:space="preserve">P </t>
  </si>
  <si>
    <t>Reject H0 at 5% significane level</t>
  </si>
  <si>
    <t>Z min</t>
  </si>
  <si>
    <t>Z max</t>
  </si>
  <si>
    <t>Mean</t>
  </si>
  <si>
    <t>Mean Absolute Deviation</t>
  </si>
  <si>
    <t>Sample Variance</t>
  </si>
  <si>
    <t>Sample Standard Deviation</t>
  </si>
  <si>
    <t>CV</t>
  </si>
  <si>
    <t>Weekly return</t>
  </si>
  <si>
    <t>SNP - Delayed Quote • USD</t>
  </si>
  <si>
    <t>S&amp;P 500 (^GSPC)</t>
  </si>
  <si>
    <t>At close: February 23 at 4:34:12 PM EST</t>
  </si>
  <si>
    <t>Currency in USD</t>
  </si>
  <si>
    <t>Take-Two
weekly excess return
 (return − risk-free rate)</t>
  </si>
  <si>
    <t>S&amp;P 500
weekly excess return
 (return − risk-free rate)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</si>
  <si>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</si>
  <si>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</si>
  <si>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</si>
  <si>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</si>
  <si>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</si>
  <si>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</si>
  <si>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</si>
  <si>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</si>
  <si>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</si>
  <si>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</si>
  <si>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</si>
  <si>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</si>
  <si>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</si>
  <si>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</si>
  <si>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</si>
  <si>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</si>
  <si>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</si>
  <si>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</si>
  <si>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</si>
  <si>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</si>
  <si>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</si>
  <si>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</si>
  <si>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</si>
  <si>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Y-пересечение</t>
  </si>
  <si>
    <t>S&amp;P 500
 weekly excess return
 (return − risk-free rate)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</si>
</sst>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mmm d, yyyy"/>
    <numFmt numFmtId="166" formatCode="dd/MM/yyyy"/>
    <numFmt numFmtId="167" formatCode="0.00000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sz val="17.0"/>
      <color theme="1"/>
      <name val="Arial"/>
      <scheme val="minor"/>
    </font>
    <font/>
    <font>
      <b/>
      <sz val="12.0"/>
      <color theme="1"/>
      <name val="Arial"/>
      <scheme val="minor"/>
    </font>
    <font>
      <sz val="10.0"/>
      <color theme="1"/>
      <name val="Aptos Narrow"/>
    </font>
    <font>
      <sz val="10.0"/>
      <color theme="1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</font>
    <font>
      <b/>
      <sz val="10.0"/>
      <color theme="1"/>
      <name val="Aptos Narrow"/>
    </font>
    <font>
      <b/>
      <color theme="1"/>
      <name val="Arial"/>
    </font>
    <font>
      <b/>
      <sz val="10.0"/>
      <color theme="1"/>
      <name val="Arial"/>
      <scheme val="minor"/>
    </font>
    <font>
      <color theme="1"/>
      <name val="Aptos Narrow"/>
    </font>
    <font>
      <sz val="11.0"/>
      <color rgb="FF000000"/>
      <name val="Calibri"/>
    </font>
    <font>
      <i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1">
    <border/>
    <border>
      <left style="thick">
        <color rgb="FFCCCCCC"/>
      </left>
      <top style="thick">
        <color rgb="FFCCCCCC"/>
      </top>
    </border>
    <border>
      <top style="thick">
        <color rgb="FFCCCCCC"/>
      </top>
    </border>
    <border>
      <right style="thick">
        <color rgb="FFCCCCCC"/>
      </right>
      <top style="thick">
        <color rgb="FFCCCCCC"/>
      </top>
    </border>
    <border>
      <left style="thick">
        <color rgb="FFCCCCCC"/>
      </left>
    </border>
    <border>
      <right style="thick">
        <color rgb="FFCCCCCC"/>
      </right>
    </border>
    <border>
      <left style="thick">
        <color rgb="FFCCCCCC"/>
      </left>
      <bottom style="thick">
        <color rgb="FFCCCCCC"/>
      </bottom>
    </border>
    <border>
      <right style="thick">
        <color rgb="FFCCCCCC"/>
      </right>
      <bottom style="thick">
        <color rgb="FFCCCCCC"/>
      </bottom>
    </border>
    <border>
      <bottom style="thick">
        <color rgb="FFCCCCCC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2" fontId="1" numFmtId="0" xfId="0" applyFont="1"/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vertical="top"/>
    </xf>
    <xf borderId="0" fillId="3" fontId="3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3" fontId="1" numFmtId="10" xfId="0" applyAlignment="1" applyFont="1" applyNumberFormat="1">
      <alignment horizontal="center" readingOrder="0" shrinkToFit="0" vertical="top" wrapText="1"/>
    </xf>
    <xf borderId="0" fillId="4" fontId="1" numFmtId="0" xfId="0" applyAlignment="1" applyFont="1">
      <alignment horizontal="center" readingOrder="0" shrinkToFit="0" vertical="top" wrapText="1"/>
    </xf>
    <xf borderId="1" fillId="5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1" fillId="5" fontId="6" numFmtId="0" xfId="0" applyAlignment="1" applyBorder="1" applyFont="1">
      <alignment horizontal="center" readingOrder="0" vertical="center"/>
    </xf>
    <xf borderId="0" fillId="0" fontId="1" numFmtId="166" xfId="0" applyAlignment="1" applyFont="1" applyNumberFormat="1">
      <alignment readingOrder="0"/>
    </xf>
    <xf borderId="0" fillId="0" fontId="1" numFmtId="10" xfId="0" applyFont="1" applyNumberFormat="1"/>
    <xf borderId="4" fillId="0" fontId="7" numFmtId="0" xfId="0" applyAlignment="1" applyBorder="1" applyFont="1">
      <alignment vertical="bottom"/>
    </xf>
    <xf borderId="0" fillId="3" fontId="8" numFmtId="0" xfId="0" applyAlignment="1" applyFont="1">
      <alignment horizontal="center" readingOrder="0" vertical="center"/>
    </xf>
    <xf borderId="5" fillId="4" fontId="9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readingOrder="0"/>
    </xf>
    <xf borderId="5" fillId="0" fontId="10" numFmtId="167" xfId="0" applyBorder="1" applyFont="1" applyNumberFormat="1"/>
    <xf borderId="4" fillId="0" fontId="1" numFmtId="0" xfId="0" applyBorder="1" applyFont="1"/>
    <xf borderId="5" fillId="0" fontId="10" numFmtId="0" xfId="0" applyAlignment="1" applyBorder="1" applyFont="1">
      <alignment horizontal="center" readingOrder="0"/>
    </xf>
    <xf borderId="4" fillId="0" fontId="11" numFmtId="0" xfId="0" applyAlignment="1" applyBorder="1" applyFont="1">
      <alignment vertical="bottom"/>
    </xf>
    <xf borderId="0" fillId="0" fontId="11" numFmtId="10" xfId="0" applyAlignment="1" applyFont="1" applyNumberFormat="1">
      <alignment horizontal="right" vertical="bottom"/>
    </xf>
    <xf borderId="5" fillId="0" fontId="11" numFmtId="10" xfId="0" applyAlignment="1" applyBorder="1" applyFont="1" applyNumberFormat="1">
      <alignment horizontal="right" vertical="bottom"/>
    </xf>
    <xf borderId="6" fillId="0" fontId="10" numFmtId="0" xfId="0" applyAlignment="1" applyBorder="1" applyFont="1">
      <alignment readingOrder="0"/>
    </xf>
    <xf borderId="7" fillId="0" fontId="10" numFmtId="167" xfId="0" applyBorder="1" applyFont="1" applyNumberFormat="1"/>
    <xf borderId="0" fillId="0" fontId="10" numFmtId="9" xfId="0" applyFont="1" applyNumberFormat="1"/>
    <xf borderId="5" fillId="0" fontId="10" numFmtId="9" xfId="0" applyBorder="1" applyFont="1" applyNumberFormat="1"/>
    <xf borderId="4" fillId="0" fontId="10" numFmtId="0" xfId="0" applyBorder="1" applyFont="1"/>
    <xf borderId="0" fillId="0" fontId="10" numFmtId="0" xfId="0" applyFont="1"/>
    <xf borderId="5" fillId="0" fontId="10" numFmtId="0" xfId="0" applyBorder="1" applyFont="1"/>
    <xf borderId="4" fillId="0" fontId="11" numFmtId="0" xfId="0" applyAlignment="1" applyBorder="1" applyFont="1">
      <alignment readingOrder="0" vertical="bottom"/>
    </xf>
    <xf borderId="0" fillId="0" fontId="10" numFmtId="10" xfId="0" applyAlignment="1" applyFont="1" applyNumberFormat="1">
      <alignment readingOrder="0"/>
    </xf>
    <xf borderId="4" fillId="0" fontId="12" numFmtId="0" xfId="0" applyAlignment="1" applyBorder="1" applyFont="1">
      <alignment vertical="bottom"/>
    </xf>
    <xf borderId="0" fillId="0" fontId="7" numFmtId="4" xfId="0" applyAlignment="1" applyFont="1" applyNumberFormat="1">
      <alignment vertical="bottom"/>
    </xf>
    <xf borderId="5" fillId="0" fontId="7" numFmtId="0" xfId="0" applyAlignment="1" applyBorder="1" applyFont="1">
      <alignment vertical="bottom"/>
    </xf>
    <xf borderId="8" fillId="0" fontId="10" numFmtId="10" xfId="0" applyAlignment="1" applyBorder="1" applyFont="1" applyNumberFormat="1">
      <alignment readingOrder="0"/>
    </xf>
    <xf borderId="7" fillId="0" fontId="10" numFmtId="0" xfId="0" applyBorder="1" applyFont="1"/>
    <xf borderId="5" fillId="0" fontId="1" numFmtId="0" xfId="0" applyBorder="1" applyFont="1"/>
    <xf borderId="5" fillId="0" fontId="10" numFmtId="0" xfId="0" applyAlignment="1" applyBorder="1" applyFont="1">
      <alignment horizontal="right" readingOrder="0"/>
    </xf>
    <xf borderId="4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readingOrder="0" vertical="bottom"/>
    </xf>
    <xf borderId="0" fillId="0" fontId="12" numFmtId="4" xfId="0" applyAlignment="1" applyFont="1" applyNumberFormat="1">
      <alignment vertical="bottom"/>
    </xf>
    <xf borderId="5" fillId="0" fontId="12" numFmtId="4" xfId="0" applyAlignment="1" applyBorder="1" applyFont="1" applyNumberFormat="1">
      <alignment vertical="bottom"/>
    </xf>
    <xf borderId="0" fillId="0" fontId="10" numFmtId="10" xfId="0" applyFont="1" applyNumberFormat="1"/>
    <xf borderId="5" fillId="0" fontId="10" numFmtId="10" xfId="0" applyBorder="1" applyFont="1" applyNumberFormat="1"/>
    <xf borderId="4" fillId="0" fontId="13" numFmtId="0" xfId="0" applyAlignment="1" applyBorder="1" applyFont="1">
      <alignment readingOrder="0" vertical="bottom"/>
    </xf>
    <xf borderId="5" fillId="0" fontId="13" numFmtId="4" xfId="0" applyAlignment="1" applyBorder="1" applyFont="1" applyNumberFormat="1">
      <alignment horizontal="right" vertical="bottom"/>
    </xf>
    <xf borderId="5" fillId="3" fontId="13" numFmtId="167" xfId="0" applyAlignment="1" applyBorder="1" applyFont="1" applyNumberFormat="1">
      <alignment horizontal="right" vertical="bottom"/>
    </xf>
    <xf borderId="6" fillId="3" fontId="3" numFmtId="0" xfId="0" applyAlignment="1" applyBorder="1" applyFont="1">
      <alignment horizontal="center" vertical="bottom"/>
    </xf>
    <xf borderId="7" fillId="0" fontId="5" numFmtId="0" xfId="0" applyBorder="1" applyFont="1"/>
    <xf borderId="0" fillId="0" fontId="10" numFmtId="4" xfId="0" applyAlignment="1" applyFont="1" applyNumberFormat="1">
      <alignment horizontal="right"/>
    </xf>
    <xf borderId="5" fillId="0" fontId="10" numFmtId="4" xfId="0" applyAlignment="1" applyBorder="1" applyFont="1" applyNumberFormat="1">
      <alignment horizontal="right"/>
    </xf>
    <xf borderId="0" fillId="0" fontId="10" numFmtId="10" xfId="0" applyAlignment="1" applyFont="1" applyNumberFormat="1">
      <alignment horizontal="right"/>
    </xf>
    <xf borderId="6" fillId="0" fontId="14" numFmtId="0" xfId="0" applyAlignment="1" applyBorder="1" applyFont="1">
      <alignment readingOrder="0"/>
    </xf>
    <xf borderId="8" fillId="0" fontId="14" numFmtId="4" xfId="0" applyAlignment="1" applyBorder="1" applyFont="1" applyNumberFormat="1">
      <alignment horizontal="right"/>
    </xf>
    <xf borderId="7" fillId="0" fontId="14" numFmtId="4" xfId="0" applyAlignment="1" applyBorder="1" applyFont="1" applyNumberFormat="1">
      <alignment horizontal="right"/>
    </xf>
    <xf borderId="0" fillId="2" fontId="3" numFmtId="0" xfId="0" applyAlignment="1" applyFont="1">
      <alignment shrinkToFit="0" vertical="bottom" wrapText="1"/>
    </xf>
    <xf borderId="0" fillId="0" fontId="1" numFmtId="4" xfId="0" applyAlignment="1" applyFont="1" applyNumberFormat="1">
      <alignment readingOrder="0"/>
    </xf>
    <xf borderId="0" fillId="2" fontId="3" numFmtId="10" xfId="0" applyAlignment="1" applyFont="1" applyNumberFormat="1">
      <alignment shrinkToFit="0" vertical="bottom" wrapText="1"/>
    </xf>
    <xf borderId="0" fillId="0" fontId="15" numFmtId="3" xfId="0" applyAlignment="1" applyFont="1" applyNumberFormat="1">
      <alignment vertical="bottom"/>
    </xf>
    <xf borderId="0" fillId="0" fontId="3" numFmtId="3" xfId="0" applyAlignment="1" applyFont="1" applyNumberFormat="1">
      <alignment readingOrder="0" vertical="bottom"/>
    </xf>
    <xf borderId="0" fillId="0" fontId="3" numFmtId="166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6" fontId="3" numFmtId="10" xfId="0" applyAlignment="1" applyFill="1" applyFont="1" applyNumberFormat="1">
      <alignment vertical="bottom"/>
    </xf>
    <xf borderId="0" fillId="4" fontId="1" numFmtId="0" xfId="0" applyAlignment="1" applyFont="1">
      <alignment horizontal="center" readingOrder="0" vertical="top"/>
    </xf>
    <xf borderId="0" fillId="7" fontId="1" numFmtId="0" xfId="0" applyAlignment="1" applyFill="1" applyFont="1">
      <alignment horizontal="center" readingOrder="0" vertical="top"/>
    </xf>
    <xf borderId="0" fillId="6" fontId="3" numFmtId="0" xfId="0" applyAlignment="1" applyFont="1">
      <alignment shrinkToFit="0" vertical="bottom" wrapText="1"/>
    </xf>
    <xf borderId="0" fillId="0" fontId="16" numFmtId="0" xfId="0" applyAlignment="1" applyFont="1">
      <alignment readingOrder="0" shrinkToFit="0" vertical="bottom" wrapText="0"/>
    </xf>
    <xf borderId="0" fillId="0" fontId="16" numFmtId="10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6" xfId="0" applyAlignment="1" applyFont="1" applyNumberFormat="1">
      <alignment shrinkToFit="0" vertical="bottom" wrapText="0"/>
    </xf>
    <xf borderId="0" fillId="0" fontId="16" numFmtId="4" xfId="0" applyAlignment="1" applyFont="1" applyNumberFormat="1">
      <alignment shrinkToFit="0" vertical="bottom" wrapText="0"/>
    </xf>
    <xf borderId="9" fillId="0" fontId="17" numFmtId="0" xfId="0" applyAlignment="1" applyBorder="1" applyFont="1">
      <alignment horizontal="center" readingOrder="0" shrinkToFit="0" vertical="bottom" wrapText="0"/>
    </xf>
    <xf borderId="9" fillId="0" fontId="5" numFmtId="0" xfId="0" applyBorder="1" applyFont="1"/>
    <xf borderId="0" fillId="0" fontId="16" numFmtId="4" xfId="0" applyAlignment="1" applyFont="1" applyNumberFormat="1">
      <alignment horizontal="right" readingOrder="0" shrinkToFit="0" vertical="bottom" wrapText="0"/>
    </xf>
    <xf borderId="10" fillId="0" fontId="16" numFmtId="0" xfId="0" applyAlignment="1" applyBorder="1" applyFont="1">
      <alignment readingOrder="0" shrinkToFit="0" vertical="bottom" wrapText="0"/>
    </xf>
    <xf borderId="10" fillId="0" fontId="16" numFmtId="4" xfId="0" applyAlignment="1" applyBorder="1" applyFont="1" applyNumberFormat="1">
      <alignment horizontal="right" readingOrder="0" shrinkToFit="0" vertical="bottom" wrapText="0"/>
    </xf>
    <xf borderId="9" fillId="0" fontId="17" numFmtId="166" xfId="0" applyAlignment="1" applyBorder="1" applyFont="1" applyNumberFormat="1">
      <alignment horizontal="center" shrinkToFit="0" vertical="bottom" wrapText="0"/>
    </xf>
    <xf borderId="9" fillId="0" fontId="17" numFmtId="4" xfId="0" applyAlignment="1" applyBorder="1" applyFont="1" applyNumberFormat="1">
      <alignment horizontal="center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10" fillId="0" fontId="16" numFmtId="0" xfId="0" applyAlignment="1" applyBorder="1" applyFont="1">
      <alignment horizontal="right" readingOrder="0" shrinkToFit="0" vertical="bottom" wrapText="0"/>
    </xf>
    <xf borderId="10" fillId="0" fontId="16" numFmtId="0" xfId="0" applyAlignment="1" applyBorder="1" applyFont="1">
      <alignment shrinkToFit="0" vertical="bottom" wrapText="0"/>
    </xf>
    <xf borderId="10" fillId="0" fontId="16" numFmtId="0" xfId="0" applyAlignment="1" applyBorder="1" applyFont="1">
      <alignment readingOrder="0" vertical="bottom"/>
    </xf>
    <xf borderId="0" fillId="6" fontId="3" numFmtId="10" xfId="0" applyAlignment="1" applyFont="1" applyNumberFormat="1">
      <alignment shrinkToFit="0" vertical="bottom" wrapText="1"/>
    </xf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Valves Co. weekly return vs Take-Two weekly return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Combine!$D$1</c:f>
            </c:strRef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FF9900"/>
              </a:solidFill>
              <a:ln cmpd="sng">
                <a:solidFill>
                  <a:srgbClr val="FF9900"/>
                </a:solidFill>
              </a:ln>
            </c:spPr>
          </c:marker>
          <c:xVal>
            <c:numRef>
              <c:f>Combine!$E$2:$E$55</c:f>
            </c:numRef>
          </c:xVal>
          <c:yVal>
            <c:numRef>
              <c:f>Combine!$D$2:$D$55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596400"/>
        <c:axId val="640479259"/>
      </c:scatterChart>
      <c:valAx>
        <c:axId val="8275964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Take-Two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-1800000"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640479259"/>
      </c:valAx>
      <c:valAx>
        <c:axId val="640479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Valve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800">
                <a:solidFill>
                  <a:srgbClr val="000000"/>
                </a:solidFill>
                <a:latin typeface="+mn-lt"/>
              </a:defRPr>
            </a:pPr>
          </a:p>
        </c:txPr>
        <c:crossAx val="827596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942975</xdr:colOff>
      <xdr:row>2</xdr:row>
      <xdr:rowOff>180975</xdr:rowOff>
    </xdr:from>
    <xdr:ext cx="4743450" cy="300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4580.TWO/history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TTWO/history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J1" s="3" t="s">
        <v>7</v>
      </c>
      <c r="K1" s="4"/>
    </row>
    <row r="2">
      <c r="A2" s="5">
        <v>46078.0</v>
      </c>
      <c r="B2" s="1">
        <v>81.6</v>
      </c>
      <c r="C2" s="1">
        <v>82.5</v>
      </c>
      <c r="D2" s="1">
        <v>81.6</v>
      </c>
      <c r="E2" s="1">
        <v>82.0</v>
      </c>
      <c r="F2" s="2">
        <v>82.0</v>
      </c>
      <c r="G2" s="6">
        <v>17315.0</v>
      </c>
      <c r="J2" s="4"/>
      <c r="K2" s="4"/>
    </row>
    <row r="3">
      <c r="A3" s="5">
        <v>46076.0</v>
      </c>
      <c r="B3" s="1">
        <v>82.0</v>
      </c>
      <c r="C3" s="1">
        <v>82.5</v>
      </c>
      <c r="D3" s="1">
        <v>82.0</v>
      </c>
      <c r="E3" s="1">
        <v>82.0</v>
      </c>
      <c r="F3" s="2">
        <v>82.0</v>
      </c>
      <c r="G3" s="6">
        <v>60011.0</v>
      </c>
      <c r="J3" s="4" t="s">
        <v>8</v>
      </c>
      <c r="K3" s="4"/>
    </row>
    <row r="4">
      <c r="A4" s="5">
        <v>46069.0</v>
      </c>
      <c r="B4" s="1">
        <v>82.0</v>
      </c>
      <c r="C4" s="1">
        <v>82.0</v>
      </c>
      <c r="D4" s="1">
        <v>82.0</v>
      </c>
      <c r="E4" s="1">
        <v>82.0</v>
      </c>
      <c r="F4" s="2">
        <v>82.0</v>
      </c>
      <c r="G4" s="1" t="s">
        <v>9</v>
      </c>
    </row>
    <row r="5">
      <c r="A5" s="5">
        <v>46062.0</v>
      </c>
      <c r="B5" s="1">
        <v>80.8</v>
      </c>
      <c r="C5" s="1">
        <v>82.4</v>
      </c>
      <c r="D5" s="1">
        <v>80.8</v>
      </c>
      <c r="E5" s="1">
        <v>82.0</v>
      </c>
      <c r="F5" s="2">
        <v>82.0</v>
      </c>
      <c r="G5" s="6">
        <v>117182.0</v>
      </c>
    </row>
    <row r="6">
      <c r="A6" s="5">
        <v>46055.0</v>
      </c>
      <c r="B6" s="1">
        <v>81.0</v>
      </c>
      <c r="C6" s="1">
        <v>82.6</v>
      </c>
      <c r="D6" s="1">
        <v>80.5</v>
      </c>
      <c r="E6" s="1">
        <v>80.8</v>
      </c>
      <c r="F6" s="2">
        <v>80.8</v>
      </c>
      <c r="G6" s="6">
        <v>135888.0</v>
      </c>
    </row>
    <row r="7">
      <c r="A7" s="5">
        <v>46048.0</v>
      </c>
      <c r="B7" s="1">
        <v>82.7</v>
      </c>
      <c r="C7" s="1">
        <v>82.8</v>
      </c>
      <c r="D7" s="1">
        <v>81.0</v>
      </c>
      <c r="E7" s="1">
        <v>81.7</v>
      </c>
      <c r="F7" s="2">
        <v>81.7</v>
      </c>
      <c r="G7" s="6">
        <v>181097.0</v>
      </c>
    </row>
    <row r="8">
      <c r="A8" s="5">
        <v>46041.0</v>
      </c>
      <c r="B8" s="1">
        <v>81.8</v>
      </c>
      <c r="C8" s="1">
        <v>83.4</v>
      </c>
      <c r="D8" s="1">
        <v>81.5</v>
      </c>
      <c r="E8" s="1">
        <v>82.7</v>
      </c>
      <c r="F8" s="2">
        <v>82.7</v>
      </c>
      <c r="G8" s="6">
        <v>346716.0</v>
      </c>
    </row>
    <row r="9">
      <c r="A9" s="5">
        <v>46034.0</v>
      </c>
      <c r="B9" s="1">
        <v>81.2</v>
      </c>
      <c r="C9" s="1">
        <v>82.8</v>
      </c>
      <c r="D9" s="1">
        <v>80.8</v>
      </c>
      <c r="E9" s="1">
        <v>81.7</v>
      </c>
      <c r="F9" s="2">
        <v>81.7</v>
      </c>
      <c r="G9" s="6">
        <v>242509.0</v>
      </c>
    </row>
    <row r="10">
      <c r="A10" s="5">
        <v>46027.0</v>
      </c>
      <c r="B10" s="1">
        <v>81.6</v>
      </c>
      <c r="C10" s="1">
        <v>81.8</v>
      </c>
      <c r="D10" s="1">
        <v>80.5</v>
      </c>
      <c r="E10" s="1">
        <v>81.1</v>
      </c>
      <c r="F10" s="2">
        <v>81.1</v>
      </c>
      <c r="G10" s="6">
        <v>196605.0</v>
      </c>
    </row>
    <row r="11">
      <c r="A11" s="5">
        <v>46020.0</v>
      </c>
      <c r="B11" s="1">
        <v>81.9</v>
      </c>
      <c r="C11" s="1">
        <v>82.3</v>
      </c>
      <c r="D11" s="1">
        <v>80.3</v>
      </c>
      <c r="E11" s="1">
        <v>81.6</v>
      </c>
      <c r="F11" s="2">
        <v>81.6</v>
      </c>
      <c r="G11" s="6">
        <v>151305.0</v>
      </c>
    </row>
    <row r="12">
      <c r="A12" s="5">
        <v>46013.0</v>
      </c>
      <c r="B12" s="1">
        <v>81.9</v>
      </c>
      <c r="C12" s="1">
        <v>82.7</v>
      </c>
      <c r="D12" s="1">
        <v>81.0</v>
      </c>
      <c r="E12" s="1">
        <v>81.9</v>
      </c>
      <c r="F12" s="2">
        <v>81.9</v>
      </c>
      <c r="G12" s="6">
        <v>188041.0</v>
      </c>
    </row>
    <row r="13">
      <c r="A13" s="5">
        <v>46006.0</v>
      </c>
      <c r="B13" s="1">
        <v>80.7</v>
      </c>
      <c r="C13" s="1">
        <v>82.4</v>
      </c>
      <c r="D13" s="1">
        <v>80.2</v>
      </c>
      <c r="E13" s="1">
        <v>81.9</v>
      </c>
      <c r="F13" s="2">
        <v>81.9</v>
      </c>
      <c r="G13" s="6">
        <v>240711.0</v>
      </c>
    </row>
    <row r="14">
      <c r="A14" s="5">
        <v>45999.0</v>
      </c>
      <c r="B14" s="1">
        <v>82.5</v>
      </c>
      <c r="C14" s="1">
        <v>83.2</v>
      </c>
      <c r="D14" s="1">
        <v>80.9</v>
      </c>
      <c r="E14" s="1">
        <v>81.2</v>
      </c>
      <c r="F14" s="2">
        <v>81.2</v>
      </c>
      <c r="G14" s="6">
        <v>188055.0</v>
      </c>
    </row>
    <row r="15">
      <c r="A15" s="5">
        <v>45992.0</v>
      </c>
      <c r="B15" s="1">
        <v>81.2</v>
      </c>
      <c r="C15" s="1">
        <v>83.5</v>
      </c>
      <c r="D15" s="1">
        <v>80.5</v>
      </c>
      <c r="E15" s="1">
        <v>82.5</v>
      </c>
      <c r="F15" s="2">
        <v>82.5</v>
      </c>
      <c r="G15" s="6">
        <v>200038.0</v>
      </c>
    </row>
    <row r="16">
      <c r="A16" s="5">
        <v>45985.0</v>
      </c>
      <c r="B16" s="1">
        <v>80.8</v>
      </c>
      <c r="C16" s="1">
        <v>82.0</v>
      </c>
      <c r="D16" s="1">
        <v>80.4</v>
      </c>
      <c r="E16" s="1">
        <v>81.2</v>
      </c>
      <c r="F16" s="2">
        <v>81.2</v>
      </c>
      <c r="G16" s="6">
        <v>184039.0</v>
      </c>
    </row>
    <row r="17">
      <c r="A17" s="5">
        <v>45978.0</v>
      </c>
      <c r="B17" s="1">
        <v>81.6</v>
      </c>
      <c r="C17" s="1">
        <v>82.9</v>
      </c>
      <c r="D17" s="1">
        <v>80.0</v>
      </c>
      <c r="E17" s="1">
        <v>80.8</v>
      </c>
      <c r="F17" s="2">
        <v>80.8</v>
      </c>
      <c r="G17" s="6">
        <v>363007.0</v>
      </c>
    </row>
    <row r="18">
      <c r="A18" s="5">
        <v>45971.0</v>
      </c>
      <c r="B18" s="1">
        <v>83.5</v>
      </c>
      <c r="C18" s="1">
        <v>84.7</v>
      </c>
      <c r="D18" s="1">
        <v>81.4</v>
      </c>
      <c r="E18" s="1">
        <v>82.2</v>
      </c>
      <c r="F18" s="2">
        <v>82.2</v>
      </c>
      <c r="G18" s="6">
        <v>399100.0</v>
      </c>
    </row>
    <row r="19">
      <c r="A19" s="5">
        <v>45964.0</v>
      </c>
      <c r="B19" s="1">
        <v>83.2</v>
      </c>
      <c r="C19" s="1">
        <v>84.8</v>
      </c>
      <c r="D19" s="1">
        <v>82.0</v>
      </c>
      <c r="E19" s="1">
        <v>82.6</v>
      </c>
      <c r="F19" s="2">
        <v>82.6</v>
      </c>
      <c r="G19" s="6">
        <v>381105.0</v>
      </c>
    </row>
    <row r="20">
      <c r="A20" s="5">
        <v>45957.0</v>
      </c>
      <c r="B20" s="1">
        <v>84.2</v>
      </c>
      <c r="C20" s="1">
        <v>86.0</v>
      </c>
      <c r="D20" s="1">
        <v>82.9</v>
      </c>
      <c r="E20" s="1">
        <v>83.7</v>
      </c>
      <c r="F20" s="2">
        <v>83.7</v>
      </c>
      <c r="G20" s="6">
        <v>457906.0</v>
      </c>
    </row>
    <row r="21">
      <c r="A21" s="5">
        <v>45950.0</v>
      </c>
      <c r="B21" s="1">
        <v>84.8</v>
      </c>
      <c r="C21" s="1">
        <v>85.6</v>
      </c>
      <c r="D21" s="1">
        <v>83.9</v>
      </c>
      <c r="E21" s="1">
        <v>84.4</v>
      </c>
      <c r="F21" s="2">
        <v>84.4</v>
      </c>
      <c r="G21" s="6">
        <v>320444.0</v>
      </c>
    </row>
    <row r="22">
      <c r="A22" s="5">
        <v>45943.0</v>
      </c>
      <c r="B22" s="1">
        <v>85.1</v>
      </c>
      <c r="C22" s="1">
        <v>88.0</v>
      </c>
      <c r="D22" s="1">
        <v>84.2</v>
      </c>
      <c r="E22" s="1">
        <v>85.1</v>
      </c>
      <c r="F22" s="2">
        <v>85.1</v>
      </c>
      <c r="G22" s="6">
        <v>494516.0</v>
      </c>
    </row>
    <row r="23">
      <c r="A23" s="5">
        <v>45936.0</v>
      </c>
      <c r="B23" s="1">
        <v>87.5</v>
      </c>
      <c r="C23" s="1">
        <v>87.8</v>
      </c>
      <c r="D23" s="1">
        <v>85.9</v>
      </c>
      <c r="E23" s="1">
        <v>86.3</v>
      </c>
      <c r="F23" s="2">
        <v>86.3</v>
      </c>
      <c r="G23" s="6">
        <v>287300.0</v>
      </c>
    </row>
    <row r="24">
      <c r="A24" s="5">
        <v>45929.0</v>
      </c>
      <c r="B24" s="1">
        <v>88.5</v>
      </c>
      <c r="C24" s="1">
        <v>90.3</v>
      </c>
      <c r="D24" s="1">
        <v>86.9</v>
      </c>
      <c r="E24" s="1">
        <v>87.5</v>
      </c>
      <c r="F24" s="2">
        <v>87.5</v>
      </c>
      <c r="G24" s="6">
        <v>446672.0</v>
      </c>
    </row>
    <row r="25">
      <c r="A25" s="5">
        <v>45922.0</v>
      </c>
      <c r="B25" s="1">
        <v>91.4</v>
      </c>
      <c r="C25" s="1">
        <v>91.4</v>
      </c>
      <c r="D25" s="1">
        <v>87.3</v>
      </c>
      <c r="E25" s="1">
        <v>88.5</v>
      </c>
      <c r="F25" s="2">
        <v>88.5</v>
      </c>
      <c r="G25" s="6">
        <v>964700.0</v>
      </c>
    </row>
    <row r="26">
      <c r="A26" s="5">
        <v>45915.0</v>
      </c>
      <c r="B26" s="1">
        <v>97.5</v>
      </c>
      <c r="C26" s="1">
        <v>98.8</v>
      </c>
      <c r="D26" s="1">
        <v>89.8</v>
      </c>
      <c r="E26" s="1">
        <v>91.0</v>
      </c>
      <c r="F26" s="2">
        <v>91.0</v>
      </c>
      <c r="G26" s="6">
        <v>4675599.0</v>
      </c>
    </row>
    <row r="27">
      <c r="A27" s="5">
        <v>45908.0</v>
      </c>
      <c r="B27" s="1">
        <v>84.2</v>
      </c>
      <c r="C27" s="1">
        <v>95.2</v>
      </c>
      <c r="D27" s="1">
        <v>83.1</v>
      </c>
      <c r="E27" s="1">
        <v>90.0</v>
      </c>
      <c r="F27" s="2">
        <v>90.0</v>
      </c>
      <c r="G27" s="6">
        <v>2522463.0</v>
      </c>
    </row>
    <row r="28">
      <c r="A28" s="5">
        <v>45901.0</v>
      </c>
      <c r="B28" s="1">
        <v>82.8</v>
      </c>
      <c r="C28" s="1">
        <v>84.1</v>
      </c>
      <c r="D28" s="1">
        <v>81.7</v>
      </c>
      <c r="E28" s="1">
        <v>84.0</v>
      </c>
      <c r="F28" s="2">
        <v>84.0</v>
      </c>
      <c r="G28" s="6">
        <v>651248.0</v>
      </c>
    </row>
    <row r="29">
      <c r="A29" s="5">
        <v>45894.0</v>
      </c>
      <c r="B29" s="1">
        <v>80.3</v>
      </c>
      <c r="C29" s="1">
        <v>81.2</v>
      </c>
      <c r="D29" s="1">
        <v>79.3</v>
      </c>
      <c r="E29" s="1">
        <v>80.4</v>
      </c>
      <c r="F29" s="2">
        <v>80.4</v>
      </c>
      <c r="G29" s="6">
        <v>285155.0</v>
      </c>
    </row>
    <row r="30">
      <c r="A30" s="5">
        <v>45887.0</v>
      </c>
      <c r="B30" s="1">
        <v>78.5</v>
      </c>
      <c r="C30" s="1">
        <v>81.3</v>
      </c>
      <c r="D30" s="1">
        <v>78.1</v>
      </c>
      <c r="E30" s="1">
        <v>80.3</v>
      </c>
      <c r="F30" s="2">
        <v>80.3</v>
      </c>
      <c r="G30" s="6">
        <v>209535.0</v>
      </c>
    </row>
    <row r="31">
      <c r="A31" s="5">
        <v>45880.0</v>
      </c>
      <c r="B31" s="1">
        <v>77.4</v>
      </c>
      <c r="C31" s="1">
        <v>78.5</v>
      </c>
      <c r="D31" s="1">
        <v>76.0</v>
      </c>
      <c r="E31" s="1">
        <v>78.5</v>
      </c>
      <c r="F31" s="2">
        <v>78.5</v>
      </c>
      <c r="G31" s="6">
        <v>199689.0</v>
      </c>
    </row>
    <row r="32">
      <c r="A32" s="5">
        <v>45873.0</v>
      </c>
      <c r="B32" s="1">
        <v>76.4</v>
      </c>
      <c r="C32" s="1">
        <v>78.5</v>
      </c>
      <c r="D32" s="1">
        <v>76.0</v>
      </c>
      <c r="E32" s="1">
        <v>77.4</v>
      </c>
      <c r="F32" s="2">
        <v>77.4</v>
      </c>
      <c r="G32" s="6">
        <v>182000.0</v>
      </c>
    </row>
    <row r="33">
      <c r="A33" s="5">
        <v>45867.0</v>
      </c>
      <c r="B33" s="1" t="s">
        <v>10</v>
      </c>
      <c r="F33" s="7"/>
    </row>
    <row r="34">
      <c r="A34" s="5">
        <v>45866.0</v>
      </c>
      <c r="B34" s="1">
        <v>81.8</v>
      </c>
      <c r="C34" s="1">
        <v>82.2</v>
      </c>
      <c r="D34" s="1">
        <v>75.0</v>
      </c>
      <c r="E34" s="1">
        <v>77.0</v>
      </c>
      <c r="F34" s="2">
        <v>72.3</v>
      </c>
      <c r="G34" s="6">
        <v>410190.0</v>
      </c>
    </row>
    <row r="35">
      <c r="A35" s="5">
        <v>45859.0</v>
      </c>
      <c r="B35" s="1">
        <v>81.1</v>
      </c>
      <c r="C35" s="1">
        <v>81.9</v>
      </c>
      <c r="D35" s="1">
        <v>80.1</v>
      </c>
      <c r="E35" s="1">
        <v>81.1</v>
      </c>
      <c r="F35" s="2">
        <v>76.15</v>
      </c>
      <c r="G35" s="6">
        <v>260772.0</v>
      </c>
    </row>
    <row r="36">
      <c r="A36" s="5">
        <v>45852.0</v>
      </c>
      <c r="B36" s="1">
        <v>80.9</v>
      </c>
      <c r="C36" s="1">
        <v>82.5</v>
      </c>
      <c r="D36" s="1">
        <v>80.2</v>
      </c>
      <c r="E36" s="1">
        <v>81.5</v>
      </c>
      <c r="F36" s="2">
        <v>76.53</v>
      </c>
      <c r="G36" s="6">
        <v>192456.0</v>
      </c>
    </row>
    <row r="37">
      <c r="A37" s="5">
        <v>45845.0</v>
      </c>
      <c r="B37" s="1">
        <v>79.4</v>
      </c>
      <c r="C37" s="1">
        <v>80.7</v>
      </c>
      <c r="D37" s="1">
        <v>78.6</v>
      </c>
      <c r="E37" s="1">
        <v>80.7</v>
      </c>
      <c r="F37" s="2">
        <v>75.78</v>
      </c>
      <c r="G37" s="6">
        <v>189084.0</v>
      </c>
    </row>
    <row r="38">
      <c r="A38" s="5">
        <v>45838.0</v>
      </c>
      <c r="B38" s="1">
        <v>79.6</v>
      </c>
      <c r="C38" s="1">
        <v>80.0</v>
      </c>
      <c r="D38" s="1">
        <v>79.1</v>
      </c>
      <c r="E38" s="1">
        <v>79.4</v>
      </c>
      <c r="F38" s="2">
        <v>74.56</v>
      </c>
      <c r="G38" s="6">
        <v>126000.0</v>
      </c>
    </row>
    <row r="39">
      <c r="A39" s="5">
        <v>45831.0</v>
      </c>
      <c r="B39" s="1">
        <v>78.5</v>
      </c>
      <c r="C39" s="1">
        <v>81.0</v>
      </c>
      <c r="D39" s="1">
        <v>78.2</v>
      </c>
      <c r="E39" s="1">
        <v>79.6</v>
      </c>
      <c r="F39" s="2">
        <v>74.74</v>
      </c>
      <c r="G39" s="6">
        <v>179112.0</v>
      </c>
    </row>
    <row r="40">
      <c r="A40" s="5">
        <v>45824.0</v>
      </c>
      <c r="B40" s="1">
        <v>79.2</v>
      </c>
      <c r="C40" s="1">
        <v>79.9</v>
      </c>
      <c r="D40" s="1">
        <v>78.8</v>
      </c>
      <c r="E40" s="1">
        <v>79.0</v>
      </c>
      <c r="F40" s="2">
        <v>74.18</v>
      </c>
      <c r="G40" s="6">
        <v>204340.0</v>
      </c>
    </row>
    <row r="41">
      <c r="A41" s="5">
        <v>45817.0</v>
      </c>
      <c r="B41" s="1">
        <v>80.1</v>
      </c>
      <c r="C41" s="1">
        <v>81.3</v>
      </c>
      <c r="D41" s="1">
        <v>79.1</v>
      </c>
      <c r="E41" s="1">
        <v>79.6</v>
      </c>
      <c r="F41" s="2">
        <v>74.74</v>
      </c>
      <c r="G41" s="6">
        <v>233079.0</v>
      </c>
    </row>
    <row r="42">
      <c r="A42" s="5">
        <v>45810.0</v>
      </c>
      <c r="B42" s="1">
        <v>80.5</v>
      </c>
      <c r="C42" s="1">
        <v>82.5</v>
      </c>
      <c r="D42" s="1">
        <v>79.1</v>
      </c>
      <c r="E42" s="1">
        <v>80.6</v>
      </c>
      <c r="F42" s="2">
        <v>75.68</v>
      </c>
      <c r="G42" s="6">
        <v>228316.0</v>
      </c>
    </row>
    <row r="43">
      <c r="A43" s="8">
        <v>45803.0</v>
      </c>
      <c r="B43" s="1">
        <v>80.6</v>
      </c>
      <c r="C43" s="1">
        <v>80.9</v>
      </c>
      <c r="D43" s="1">
        <v>80.0</v>
      </c>
      <c r="E43" s="1">
        <v>80.7</v>
      </c>
      <c r="F43" s="2">
        <v>75.78</v>
      </c>
      <c r="G43" s="6">
        <v>85118.0</v>
      </c>
    </row>
    <row r="44">
      <c r="A44" s="8">
        <v>45796.0</v>
      </c>
      <c r="B44" s="1">
        <v>80.7</v>
      </c>
      <c r="C44" s="1">
        <v>81.9</v>
      </c>
      <c r="D44" s="1">
        <v>80.1</v>
      </c>
      <c r="E44" s="1">
        <v>80.7</v>
      </c>
      <c r="F44" s="2">
        <v>75.78</v>
      </c>
      <c r="G44" s="6">
        <v>205700.0</v>
      </c>
    </row>
    <row r="45">
      <c r="A45" s="8">
        <v>45789.0</v>
      </c>
      <c r="B45" s="1">
        <v>80.5</v>
      </c>
      <c r="C45" s="1">
        <v>82.8</v>
      </c>
      <c r="D45" s="1">
        <v>80.0</v>
      </c>
      <c r="E45" s="1">
        <v>80.7</v>
      </c>
      <c r="F45" s="2">
        <v>75.78</v>
      </c>
      <c r="G45" s="6">
        <v>687084.0</v>
      </c>
    </row>
    <row r="46">
      <c r="A46" s="8">
        <v>45782.0</v>
      </c>
      <c r="B46" s="1">
        <v>85.9</v>
      </c>
      <c r="C46" s="1">
        <v>85.9</v>
      </c>
      <c r="D46" s="1">
        <v>79.1</v>
      </c>
      <c r="E46" s="1">
        <v>80.3</v>
      </c>
      <c r="F46" s="2">
        <v>75.4</v>
      </c>
      <c r="G46" s="6">
        <v>630143.0</v>
      </c>
    </row>
    <row r="47">
      <c r="A47" s="5">
        <v>45775.0</v>
      </c>
      <c r="B47" s="1">
        <v>84.1</v>
      </c>
      <c r="C47" s="1">
        <v>86.1</v>
      </c>
      <c r="D47" s="1">
        <v>84.0</v>
      </c>
      <c r="E47" s="1">
        <v>86.1</v>
      </c>
      <c r="F47" s="2">
        <v>80.85</v>
      </c>
      <c r="G47" s="6">
        <v>190229.0</v>
      </c>
    </row>
    <row r="48">
      <c r="A48" s="5">
        <v>45768.0</v>
      </c>
      <c r="B48" s="1">
        <v>83.0</v>
      </c>
      <c r="C48" s="1">
        <v>84.6</v>
      </c>
      <c r="D48" s="1">
        <v>81.1</v>
      </c>
      <c r="E48" s="1">
        <v>84.0</v>
      </c>
      <c r="F48" s="2">
        <v>78.88</v>
      </c>
      <c r="G48" s="6">
        <v>234228.0</v>
      </c>
    </row>
    <row r="49">
      <c r="A49" s="5">
        <v>45761.0</v>
      </c>
      <c r="B49" s="1">
        <v>83.1</v>
      </c>
      <c r="C49" s="1">
        <v>85.7</v>
      </c>
      <c r="D49" s="1">
        <v>83.0</v>
      </c>
      <c r="E49" s="1">
        <v>83.8</v>
      </c>
      <c r="F49" s="2">
        <v>78.69</v>
      </c>
      <c r="G49" s="6">
        <v>543458.0</v>
      </c>
    </row>
    <row r="50">
      <c r="A50" s="5">
        <v>45754.0</v>
      </c>
      <c r="B50" s="1">
        <v>81.3</v>
      </c>
      <c r="C50" s="1">
        <v>86.4</v>
      </c>
      <c r="D50" s="1">
        <v>78.3</v>
      </c>
      <c r="E50" s="1">
        <v>82.9</v>
      </c>
      <c r="F50" s="2">
        <v>77.84</v>
      </c>
      <c r="G50" s="6">
        <v>1244224.0</v>
      </c>
    </row>
    <row r="51">
      <c r="A51" s="5">
        <v>45747.0</v>
      </c>
      <c r="B51" s="1">
        <v>90.0</v>
      </c>
      <c r="C51" s="1">
        <v>90.4</v>
      </c>
      <c r="D51" s="1">
        <v>88.0</v>
      </c>
      <c r="E51" s="1">
        <v>90.3</v>
      </c>
      <c r="F51" s="2">
        <v>84.79</v>
      </c>
      <c r="G51" s="6">
        <v>370095.0</v>
      </c>
    </row>
    <row r="52">
      <c r="A52" s="5">
        <v>45740.0</v>
      </c>
      <c r="B52" s="1">
        <v>92.5</v>
      </c>
      <c r="C52" s="1">
        <v>92.6</v>
      </c>
      <c r="D52" s="1">
        <v>90.4</v>
      </c>
      <c r="E52" s="1">
        <v>91.0</v>
      </c>
      <c r="F52" s="2">
        <v>85.45</v>
      </c>
      <c r="G52" s="6">
        <v>374260.0</v>
      </c>
    </row>
    <row r="53">
      <c r="A53" s="5">
        <v>45733.0</v>
      </c>
      <c r="B53" s="1">
        <v>92.5</v>
      </c>
      <c r="C53" s="1">
        <v>92.7</v>
      </c>
      <c r="D53" s="1">
        <v>91.5</v>
      </c>
      <c r="E53" s="1">
        <v>92.4</v>
      </c>
      <c r="F53" s="2">
        <v>86.76</v>
      </c>
      <c r="G53" s="6">
        <v>580126.0</v>
      </c>
    </row>
    <row r="54">
      <c r="A54" s="5">
        <v>45726.0</v>
      </c>
      <c r="B54" s="1">
        <v>93.4</v>
      </c>
      <c r="C54" s="1">
        <v>93.9</v>
      </c>
      <c r="D54" s="1">
        <v>91.2</v>
      </c>
      <c r="E54" s="1">
        <v>92.3</v>
      </c>
      <c r="F54" s="2">
        <v>86.67</v>
      </c>
      <c r="G54" s="6">
        <v>514156.0</v>
      </c>
    </row>
    <row r="55">
      <c r="A55" s="5">
        <v>45719.0</v>
      </c>
      <c r="B55" s="1">
        <v>94.0</v>
      </c>
      <c r="C55" s="1">
        <v>94.5</v>
      </c>
      <c r="D55" s="1">
        <v>92.9</v>
      </c>
      <c r="E55" s="1">
        <v>93.4</v>
      </c>
      <c r="F55" s="2">
        <v>87.7</v>
      </c>
      <c r="G55" s="6">
        <v>274180.0</v>
      </c>
    </row>
    <row r="56">
      <c r="A56" s="5">
        <v>45712.0</v>
      </c>
      <c r="B56" s="1">
        <v>94.5</v>
      </c>
      <c r="C56" s="1">
        <v>94.8</v>
      </c>
      <c r="D56" s="1">
        <v>94.0</v>
      </c>
      <c r="E56" s="1">
        <v>94.0</v>
      </c>
      <c r="F56" s="2">
        <v>88.27</v>
      </c>
      <c r="G56" s="6">
        <v>110235.0</v>
      </c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</sheetData>
  <hyperlinks>
    <hyperlink r:id="rId1" ref="J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J1" s="3" t="s">
        <v>7</v>
      </c>
    </row>
    <row r="2">
      <c r="A2" s="5">
        <v>46077.0</v>
      </c>
      <c r="B2" s="1">
        <v>194.77</v>
      </c>
      <c r="C2" s="1">
        <v>204.51</v>
      </c>
      <c r="D2" s="1">
        <v>192.63</v>
      </c>
      <c r="E2" s="1">
        <v>204.19</v>
      </c>
      <c r="F2" s="2">
        <v>204.19</v>
      </c>
      <c r="G2" s="6">
        <v>1957116.0</v>
      </c>
      <c r="J2" s="4"/>
    </row>
    <row r="3" ht="18.0" customHeight="1">
      <c r="A3" s="5">
        <v>46076.0</v>
      </c>
      <c r="B3" s="1">
        <v>199.17</v>
      </c>
      <c r="C3" s="1">
        <v>204.51</v>
      </c>
      <c r="D3" s="1">
        <v>192.63</v>
      </c>
      <c r="E3" s="1">
        <v>204.19</v>
      </c>
      <c r="F3" s="2">
        <v>204.19</v>
      </c>
      <c r="G3" s="6">
        <v>3943900.0</v>
      </c>
      <c r="J3" s="9" t="s">
        <v>11</v>
      </c>
    </row>
    <row r="4">
      <c r="A4" s="5">
        <v>46069.0</v>
      </c>
      <c r="B4" s="1">
        <v>193.65</v>
      </c>
      <c r="C4" s="1">
        <v>204.6</v>
      </c>
      <c r="D4" s="1">
        <v>191.88</v>
      </c>
      <c r="E4" s="1">
        <v>199.72</v>
      </c>
      <c r="F4" s="2">
        <v>199.72</v>
      </c>
      <c r="G4" s="6">
        <v>8104000.0</v>
      </c>
    </row>
    <row r="5">
      <c r="A5" s="5">
        <v>46062.0</v>
      </c>
      <c r="B5" s="1">
        <v>197.5</v>
      </c>
      <c r="C5" s="1">
        <v>213.53</v>
      </c>
      <c r="D5" s="1">
        <v>188.65</v>
      </c>
      <c r="E5" s="1">
        <v>193.67</v>
      </c>
      <c r="F5" s="2">
        <v>193.67</v>
      </c>
      <c r="G5" s="6">
        <v>2.00777E7</v>
      </c>
    </row>
    <row r="6">
      <c r="A6" s="5">
        <v>46055.0</v>
      </c>
      <c r="B6" s="1">
        <v>225.51</v>
      </c>
      <c r="C6" s="1">
        <v>229.08</v>
      </c>
      <c r="D6" s="1">
        <v>189.45</v>
      </c>
      <c r="E6" s="1">
        <v>195.59</v>
      </c>
      <c r="F6" s="2">
        <v>195.59</v>
      </c>
      <c r="G6" s="6">
        <v>2.24513E7</v>
      </c>
    </row>
    <row r="7">
      <c r="A7" s="5">
        <v>46048.0</v>
      </c>
      <c r="B7" s="1">
        <v>245.57</v>
      </c>
      <c r="C7" s="1">
        <v>248.55</v>
      </c>
      <c r="D7" s="1">
        <v>211.13</v>
      </c>
      <c r="E7" s="1">
        <v>220.3</v>
      </c>
      <c r="F7" s="2">
        <v>220.3</v>
      </c>
      <c r="G7" s="6">
        <v>1.4938E7</v>
      </c>
    </row>
    <row r="8">
      <c r="A8" s="5">
        <v>46041.0</v>
      </c>
      <c r="B8" s="1">
        <v>239.0</v>
      </c>
      <c r="C8" s="1">
        <v>245.82</v>
      </c>
      <c r="D8" s="1">
        <v>233.85</v>
      </c>
      <c r="E8" s="1">
        <v>245.73</v>
      </c>
      <c r="F8" s="2">
        <v>245.73</v>
      </c>
      <c r="G8" s="6">
        <v>5418400.0</v>
      </c>
    </row>
    <row r="9">
      <c r="A9" s="5">
        <v>46034.0</v>
      </c>
      <c r="B9" s="1">
        <v>249.04</v>
      </c>
      <c r="C9" s="1">
        <v>251.21</v>
      </c>
      <c r="D9" s="1">
        <v>239.0</v>
      </c>
      <c r="E9" s="1">
        <v>240.14</v>
      </c>
      <c r="F9" s="2">
        <v>240.14</v>
      </c>
      <c r="G9" s="6">
        <v>6592600.0</v>
      </c>
    </row>
    <row r="10">
      <c r="A10" s="5">
        <v>46027.0</v>
      </c>
      <c r="B10" s="1">
        <v>252.43</v>
      </c>
      <c r="C10" s="1">
        <v>258.56</v>
      </c>
      <c r="D10" s="1">
        <v>249.34</v>
      </c>
      <c r="E10" s="1">
        <v>250.71</v>
      </c>
      <c r="F10" s="2">
        <v>250.71</v>
      </c>
      <c r="G10" s="6">
        <v>5804600.0</v>
      </c>
    </row>
    <row r="11">
      <c r="A11" s="5">
        <v>46020.0</v>
      </c>
      <c r="B11" s="1">
        <v>255.0</v>
      </c>
      <c r="C11" s="1">
        <v>260.04</v>
      </c>
      <c r="D11" s="1">
        <v>250.2</v>
      </c>
      <c r="E11" s="1">
        <v>251.6</v>
      </c>
      <c r="F11" s="2">
        <v>251.6</v>
      </c>
      <c r="G11" s="6">
        <v>4275500.0</v>
      </c>
    </row>
    <row r="12">
      <c r="A12" s="5">
        <v>46013.0</v>
      </c>
      <c r="B12" s="1">
        <v>247.4</v>
      </c>
      <c r="C12" s="1">
        <v>256.29</v>
      </c>
      <c r="D12" s="1">
        <v>247.06</v>
      </c>
      <c r="E12" s="1">
        <v>256.09</v>
      </c>
      <c r="F12" s="2">
        <v>256.09</v>
      </c>
      <c r="G12" s="6">
        <v>3139300.0</v>
      </c>
    </row>
    <row r="13">
      <c r="A13" s="5">
        <v>46006.0</v>
      </c>
      <c r="B13" s="1">
        <v>244.28</v>
      </c>
      <c r="C13" s="1">
        <v>250.38</v>
      </c>
      <c r="D13" s="1">
        <v>240.28</v>
      </c>
      <c r="E13" s="1">
        <v>247.4</v>
      </c>
      <c r="F13" s="2">
        <v>247.4</v>
      </c>
      <c r="G13" s="6">
        <v>1.06951E7</v>
      </c>
    </row>
    <row r="14">
      <c r="A14" s="5">
        <v>45999.0</v>
      </c>
      <c r="B14" s="1">
        <v>248.52</v>
      </c>
      <c r="C14" s="1">
        <v>250.18</v>
      </c>
      <c r="D14" s="1">
        <v>240.5</v>
      </c>
      <c r="E14" s="1">
        <v>241.47</v>
      </c>
      <c r="F14" s="2">
        <v>241.47</v>
      </c>
      <c r="G14" s="6">
        <v>6611000.0</v>
      </c>
    </row>
    <row r="15">
      <c r="A15" s="5">
        <v>45992.0</v>
      </c>
      <c r="B15" s="1">
        <v>246.07</v>
      </c>
      <c r="C15" s="1">
        <v>251.34</v>
      </c>
      <c r="D15" s="1">
        <v>242.19</v>
      </c>
      <c r="E15" s="1">
        <v>247.88</v>
      </c>
      <c r="F15" s="2">
        <v>247.88</v>
      </c>
      <c r="G15" s="6">
        <v>6253600.0</v>
      </c>
    </row>
    <row r="16">
      <c r="A16" s="5">
        <v>45985.0</v>
      </c>
      <c r="B16" s="1">
        <v>234.9</v>
      </c>
      <c r="C16" s="1">
        <v>246.49</v>
      </c>
      <c r="D16" s="1">
        <v>234.89</v>
      </c>
      <c r="E16" s="1">
        <v>246.07</v>
      </c>
      <c r="F16" s="2">
        <v>246.07</v>
      </c>
      <c r="G16" s="6">
        <v>5031100.0</v>
      </c>
    </row>
    <row r="17">
      <c r="A17" s="5">
        <v>45978.0</v>
      </c>
      <c r="B17" s="1">
        <v>235.11</v>
      </c>
      <c r="C17" s="1">
        <v>244.24</v>
      </c>
      <c r="D17" s="1">
        <v>231.5</v>
      </c>
      <c r="E17" s="1">
        <v>235.47</v>
      </c>
      <c r="F17" s="2">
        <v>235.47</v>
      </c>
      <c r="G17" s="6">
        <v>8898500.0</v>
      </c>
    </row>
    <row r="18">
      <c r="A18" s="5">
        <v>45971.0</v>
      </c>
      <c r="B18" s="1">
        <v>231.97</v>
      </c>
      <c r="C18" s="1">
        <v>242.6</v>
      </c>
      <c r="D18" s="1">
        <v>229.1</v>
      </c>
      <c r="E18" s="1">
        <v>235.03</v>
      </c>
      <c r="F18" s="2">
        <v>235.03</v>
      </c>
      <c r="G18" s="6">
        <v>9513300.0</v>
      </c>
    </row>
    <row r="19">
      <c r="A19" s="5">
        <v>45964.0</v>
      </c>
      <c r="B19" s="1">
        <v>257.75</v>
      </c>
      <c r="C19" s="1">
        <v>257.75</v>
      </c>
      <c r="D19" s="1">
        <v>227.25</v>
      </c>
      <c r="E19" s="1">
        <v>232.0</v>
      </c>
      <c r="F19" s="2">
        <v>232.0</v>
      </c>
      <c r="G19" s="6">
        <v>1.47584E7</v>
      </c>
    </row>
    <row r="20">
      <c r="A20" s="5">
        <v>45957.0</v>
      </c>
      <c r="B20" s="1">
        <v>256.29</v>
      </c>
      <c r="C20" s="1">
        <v>257.09</v>
      </c>
      <c r="D20" s="1">
        <v>249.24</v>
      </c>
      <c r="E20" s="1">
        <v>256.37</v>
      </c>
      <c r="F20" s="2">
        <v>256.37</v>
      </c>
      <c r="G20" s="6">
        <v>6970100.0</v>
      </c>
    </row>
    <row r="21">
      <c r="A21" s="5">
        <v>45950.0</v>
      </c>
      <c r="B21" s="1">
        <v>262.22</v>
      </c>
      <c r="C21" s="1">
        <v>262.95</v>
      </c>
      <c r="D21" s="1">
        <v>254.25</v>
      </c>
      <c r="E21" s="1">
        <v>255.12</v>
      </c>
      <c r="F21" s="2">
        <v>255.12</v>
      </c>
      <c r="G21" s="6">
        <v>5845900.0</v>
      </c>
    </row>
    <row r="22">
      <c r="A22" s="5">
        <v>45943.0</v>
      </c>
      <c r="B22" s="1">
        <v>253.3</v>
      </c>
      <c r="C22" s="1">
        <v>264.79</v>
      </c>
      <c r="D22" s="1">
        <v>251.5</v>
      </c>
      <c r="E22" s="1">
        <v>261.35</v>
      </c>
      <c r="F22" s="2">
        <v>261.35</v>
      </c>
      <c r="G22" s="6">
        <v>5485300.0</v>
      </c>
    </row>
    <row r="23">
      <c r="A23" s="5">
        <v>45936.0</v>
      </c>
      <c r="B23" s="1">
        <v>258.65</v>
      </c>
      <c r="C23" s="1">
        <v>262.19</v>
      </c>
      <c r="D23" s="1">
        <v>250.95</v>
      </c>
      <c r="E23" s="1">
        <v>251.97</v>
      </c>
      <c r="F23" s="2">
        <v>251.97</v>
      </c>
      <c r="G23" s="6">
        <v>6389500.0</v>
      </c>
    </row>
    <row r="24">
      <c r="A24" s="5">
        <v>45929.0</v>
      </c>
      <c r="B24" s="1">
        <v>257.57</v>
      </c>
      <c r="C24" s="1">
        <v>261.47</v>
      </c>
      <c r="D24" s="1">
        <v>252.55</v>
      </c>
      <c r="E24" s="1">
        <v>257.68</v>
      </c>
      <c r="F24" s="2">
        <v>257.68</v>
      </c>
      <c r="G24" s="6">
        <v>9377700.0</v>
      </c>
    </row>
    <row r="25">
      <c r="A25" s="5">
        <v>45922.0</v>
      </c>
      <c r="B25" s="1">
        <v>249.39</v>
      </c>
      <c r="C25" s="1">
        <v>258.1</v>
      </c>
      <c r="D25" s="1">
        <v>239.46</v>
      </c>
      <c r="E25" s="1">
        <v>256.12</v>
      </c>
      <c r="F25" s="2">
        <v>256.12</v>
      </c>
      <c r="G25" s="6">
        <v>9927400.0</v>
      </c>
    </row>
    <row r="26">
      <c r="A26" s="5">
        <v>45915.0</v>
      </c>
      <c r="B26" s="1">
        <v>246.25</v>
      </c>
      <c r="C26" s="1">
        <v>252.61</v>
      </c>
      <c r="D26" s="1">
        <v>245.7</v>
      </c>
      <c r="E26" s="1">
        <v>250.85</v>
      </c>
      <c r="F26" s="2">
        <v>250.85</v>
      </c>
      <c r="G26" s="6">
        <v>1.05755E7</v>
      </c>
    </row>
    <row r="27">
      <c r="A27" s="5">
        <v>45908.0</v>
      </c>
      <c r="B27" s="1">
        <v>241.78</v>
      </c>
      <c r="C27" s="1">
        <v>250.45</v>
      </c>
      <c r="D27" s="1">
        <v>241.4</v>
      </c>
      <c r="E27" s="1">
        <v>246.26</v>
      </c>
      <c r="F27" s="2">
        <v>246.26</v>
      </c>
      <c r="G27" s="6">
        <v>6306900.0</v>
      </c>
    </row>
    <row r="28">
      <c r="A28" s="5">
        <v>45901.0</v>
      </c>
      <c r="B28" s="1">
        <v>231.16</v>
      </c>
      <c r="C28" s="1">
        <v>242.69</v>
      </c>
      <c r="D28" s="1">
        <v>229.33</v>
      </c>
      <c r="E28" s="1">
        <v>239.68</v>
      </c>
      <c r="F28" s="2">
        <v>239.68</v>
      </c>
      <c r="G28" s="6">
        <v>4963800.0</v>
      </c>
    </row>
    <row r="29">
      <c r="A29" s="5">
        <v>45894.0</v>
      </c>
      <c r="B29" s="1">
        <v>228.67</v>
      </c>
      <c r="C29" s="1">
        <v>235.99</v>
      </c>
      <c r="D29" s="1">
        <v>228.5</v>
      </c>
      <c r="E29" s="1">
        <v>233.27</v>
      </c>
      <c r="F29" s="2">
        <v>233.27</v>
      </c>
      <c r="G29" s="6">
        <v>6499300.0</v>
      </c>
    </row>
    <row r="30">
      <c r="A30" s="5">
        <v>45887.0</v>
      </c>
      <c r="B30" s="1">
        <v>233.47</v>
      </c>
      <c r="C30" s="1">
        <v>235.6</v>
      </c>
      <c r="D30" s="1">
        <v>225.54</v>
      </c>
      <c r="E30" s="1">
        <v>229.03</v>
      </c>
      <c r="F30" s="2">
        <v>229.03</v>
      </c>
      <c r="G30" s="6">
        <v>6161900.0</v>
      </c>
    </row>
    <row r="31">
      <c r="A31" s="5">
        <v>45880.0</v>
      </c>
      <c r="B31" s="1">
        <v>219.36</v>
      </c>
      <c r="C31" s="1">
        <v>238.39</v>
      </c>
      <c r="D31" s="1">
        <v>218.4</v>
      </c>
      <c r="E31" s="1">
        <v>232.18</v>
      </c>
      <c r="F31" s="2">
        <v>232.18</v>
      </c>
      <c r="G31" s="6">
        <v>1.08021E7</v>
      </c>
    </row>
    <row r="32">
      <c r="A32" s="5">
        <v>45873.0</v>
      </c>
      <c r="B32" s="1">
        <v>222.84</v>
      </c>
      <c r="C32" s="1">
        <v>239.14</v>
      </c>
      <c r="D32" s="1">
        <v>216.34</v>
      </c>
      <c r="E32" s="1">
        <v>217.37</v>
      </c>
      <c r="F32" s="2">
        <v>217.37</v>
      </c>
      <c r="G32" s="6">
        <v>1.2704E7</v>
      </c>
    </row>
    <row r="33">
      <c r="A33" s="5">
        <v>45866.0</v>
      </c>
      <c r="B33" s="1">
        <v>228.23</v>
      </c>
      <c r="C33" s="1">
        <v>228.66</v>
      </c>
      <c r="D33" s="1">
        <v>219.07</v>
      </c>
      <c r="E33" s="1">
        <v>220.58</v>
      </c>
      <c r="F33" s="2">
        <v>220.58</v>
      </c>
      <c r="G33" s="6">
        <v>7831300.0</v>
      </c>
    </row>
    <row r="34">
      <c r="A34" s="5">
        <v>45859.0</v>
      </c>
      <c r="B34" s="1">
        <v>232.08</v>
      </c>
      <c r="C34" s="1">
        <v>233.24</v>
      </c>
      <c r="D34" s="1">
        <v>223.04</v>
      </c>
      <c r="E34" s="1">
        <v>224.75</v>
      </c>
      <c r="F34" s="2">
        <v>224.75</v>
      </c>
      <c r="G34" s="6">
        <v>7967600.0</v>
      </c>
    </row>
    <row r="35">
      <c r="A35" s="5">
        <v>45852.0</v>
      </c>
      <c r="B35" s="1">
        <v>234.0</v>
      </c>
      <c r="C35" s="1">
        <v>241.07</v>
      </c>
      <c r="D35" s="1">
        <v>227.45</v>
      </c>
      <c r="E35" s="1">
        <v>231.18</v>
      </c>
      <c r="F35" s="2">
        <v>231.18</v>
      </c>
      <c r="G35" s="6">
        <v>1.04802E7</v>
      </c>
    </row>
    <row r="36">
      <c r="A36" s="5">
        <v>45845.0</v>
      </c>
      <c r="B36" s="1">
        <v>240.64</v>
      </c>
      <c r="C36" s="1">
        <v>243.19</v>
      </c>
      <c r="D36" s="1">
        <v>233.15</v>
      </c>
      <c r="E36" s="1">
        <v>233.92</v>
      </c>
      <c r="F36" s="2">
        <v>233.92</v>
      </c>
      <c r="G36" s="6">
        <v>8278200.0</v>
      </c>
    </row>
    <row r="37">
      <c r="A37" s="5">
        <v>45838.0</v>
      </c>
      <c r="B37" s="1">
        <v>242.68</v>
      </c>
      <c r="C37" s="1">
        <v>244.5</v>
      </c>
      <c r="D37" s="1">
        <v>237.01</v>
      </c>
      <c r="E37" s="1">
        <v>240.11</v>
      </c>
      <c r="F37" s="2">
        <v>240.11</v>
      </c>
      <c r="G37" s="6">
        <v>7817800.0</v>
      </c>
    </row>
    <row r="38">
      <c r="A38" s="5">
        <v>45831.0</v>
      </c>
      <c r="B38" s="1">
        <v>238.31</v>
      </c>
      <c r="C38" s="1">
        <v>245.08</v>
      </c>
      <c r="D38" s="1">
        <v>235.55</v>
      </c>
      <c r="E38" s="1">
        <v>241.44</v>
      </c>
      <c r="F38" s="2">
        <v>241.44</v>
      </c>
      <c r="G38" s="6">
        <v>1.14329E7</v>
      </c>
    </row>
    <row r="39">
      <c r="A39" s="5">
        <v>45824.0</v>
      </c>
      <c r="B39" s="1">
        <v>230.95</v>
      </c>
      <c r="C39" s="1">
        <v>242.28</v>
      </c>
      <c r="D39" s="1">
        <v>230.67</v>
      </c>
      <c r="E39" s="1">
        <v>238.37</v>
      </c>
      <c r="F39" s="2">
        <v>238.37</v>
      </c>
      <c r="G39" s="6">
        <v>9892300.0</v>
      </c>
    </row>
    <row r="40">
      <c r="A40" s="5">
        <v>45817.0</v>
      </c>
      <c r="B40" s="1">
        <v>232.27</v>
      </c>
      <c r="C40" s="1">
        <v>237.39</v>
      </c>
      <c r="D40" s="1">
        <v>229.59</v>
      </c>
      <c r="E40" s="1">
        <v>230.23</v>
      </c>
      <c r="F40" s="2">
        <v>230.23</v>
      </c>
      <c r="G40" s="6">
        <v>7752700.0</v>
      </c>
    </row>
    <row r="41">
      <c r="A41" s="5">
        <v>45810.0</v>
      </c>
      <c r="B41" s="1">
        <v>226.1</v>
      </c>
      <c r="C41" s="1">
        <v>233.2</v>
      </c>
      <c r="D41" s="1">
        <v>222.12</v>
      </c>
      <c r="E41" s="1">
        <v>232.72</v>
      </c>
      <c r="F41" s="2">
        <v>232.72</v>
      </c>
      <c r="G41" s="6">
        <v>9899500.0</v>
      </c>
    </row>
    <row r="42">
      <c r="A42" s="8">
        <v>45803.0</v>
      </c>
      <c r="B42" s="1">
        <v>226.0</v>
      </c>
      <c r="C42" s="1">
        <v>229.88</v>
      </c>
      <c r="D42" s="1">
        <v>223.72</v>
      </c>
      <c r="E42" s="1">
        <v>226.28</v>
      </c>
      <c r="F42" s="2">
        <v>226.28</v>
      </c>
      <c r="G42" s="6">
        <v>1.02349E7</v>
      </c>
    </row>
    <row r="43">
      <c r="A43" s="8">
        <v>45796.0</v>
      </c>
      <c r="B43" s="1">
        <v>226.74</v>
      </c>
      <c r="C43" s="1">
        <v>237.62</v>
      </c>
      <c r="D43" s="1">
        <v>223.12</v>
      </c>
      <c r="E43" s="1">
        <v>224.99</v>
      </c>
      <c r="F43" s="2">
        <v>224.99</v>
      </c>
      <c r="G43" s="6">
        <v>1.66143E7</v>
      </c>
    </row>
    <row r="44">
      <c r="A44" s="8">
        <v>45789.0</v>
      </c>
      <c r="B44" s="1">
        <v>226.08</v>
      </c>
      <c r="C44" s="1">
        <v>240.78</v>
      </c>
      <c r="D44" s="1">
        <v>219.41</v>
      </c>
      <c r="E44" s="1">
        <v>226.74</v>
      </c>
      <c r="F44" s="2">
        <v>226.74</v>
      </c>
      <c r="G44" s="6">
        <v>1.37999E7</v>
      </c>
    </row>
    <row r="45">
      <c r="A45" s="8">
        <v>45782.0</v>
      </c>
      <c r="B45" s="1">
        <v>218.5</v>
      </c>
      <c r="C45" s="1">
        <v>232.94</v>
      </c>
      <c r="D45" s="1">
        <v>217.74</v>
      </c>
      <c r="E45" s="1">
        <v>226.55</v>
      </c>
      <c r="F45" s="2">
        <v>226.55</v>
      </c>
      <c r="G45" s="6">
        <v>1.17248E7</v>
      </c>
    </row>
    <row r="46">
      <c r="A46" s="5">
        <v>45775.0</v>
      </c>
      <c r="B46" s="1">
        <v>227.25</v>
      </c>
      <c r="C46" s="1">
        <v>238.0</v>
      </c>
      <c r="D46" s="1">
        <v>211.0</v>
      </c>
      <c r="E46" s="1">
        <v>219.5</v>
      </c>
      <c r="F46" s="2">
        <v>219.5</v>
      </c>
      <c r="G46" s="6">
        <v>1.70705E7</v>
      </c>
    </row>
    <row r="47">
      <c r="A47" s="5">
        <v>45768.0</v>
      </c>
      <c r="B47" s="1">
        <v>210.84</v>
      </c>
      <c r="C47" s="1">
        <v>225.49</v>
      </c>
      <c r="D47" s="1">
        <v>202.41</v>
      </c>
      <c r="E47" s="1">
        <v>225.38</v>
      </c>
      <c r="F47" s="2">
        <v>225.38</v>
      </c>
      <c r="G47" s="6">
        <v>9451800.0</v>
      </c>
    </row>
    <row r="48">
      <c r="A48" s="5">
        <v>45761.0</v>
      </c>
      <c r="B48" s="1">
        <v>214.0</v>
      </c>
      <c r="C48" s="1">
        <v>216.0</v>
      </c>
      <c r="D48" s="1">
        <v>209.17</v>
      </c>
      <c r="E48" s="1">
        <v>212.77</v>
      </c>
      <c r="F48" s="2">
        <v>212.77</v>
      </c>
      <c r="G48" s="6">
        <v>4776100.0</v>
      </c>
    </row>
    <row r="49">
      <c r="A49" s="5">
        <v>45754.0</v>
      </c>
      <c r="B49" s="1">
        <v>190.92</v>
      </c>
      <c r="C49" s="1">
        <v>212.85</v>
      </c>
      <c r="D49" s="1">
        <v>188.56</v>
      </c>
      <c r="E49" s="1">
        <v>212.07</v>
      </c>
      <c r="F49" s="2">
        <v>212.07</v>
      </c>
      <c r="G49" s="6">
        <v>1.35657E7</v>
      </c>
    </row>
    <row r="50">
      <c r="A50" s="5">
        <v>45747.0</v>
      </c>
      <c r="B50" s="1">
        <v>207.4</v>
      </c>
      <c r="C50" s="1">
        <v>212.72</v>
      </c>
      <c r="D50" s="1">
        <v>194.18</v>
      </c>
      <c r="E50" s="1">
        <v>194.58</v>
      </c>
      <c r="F50" s="2">
        <v>194.58</v>
      </c>
      <c r="G50" s="6">
        <v>1.19565E7</v>
      </c>
    </row>
    <row r="51">
      <c r="A51" s="5">
        <v>45740.0</v>
      </c>
      <c r="B51" s="1">
        <v>217.15</v>
      </c>
      <c r="C51" s="1">
        <v>220.93</v>
      </c>
      <c r="D51" s="1">
        <v>209.32</v>
      </c>
      <c r="E51" s="1">
        <v>210.47</v>
      </c>
      <c r="F51" s="2">
        <v>210.47</v>
      </c>
      <c r="G51" s="6">
        <v>7333700.0</v>
      </c>
    </row>
    <row r="52">
      <c r="A52" s="5">
        <v>45733.0</v>
      </c>
      <c r="B52" s="1">
        <v>203.82</v>
      </c>
      <c r="C52" s="1">
        <v>215.0</v>
      </c>
      <c r="D52" s="1">
        <v>203.06</v>
      </c>
      <c r="E52" s="1">
        <v>213.47</v>
      </c>
      <c r="F52" s="2">
        <v>213.47</v>
      </c>
      <c r="G52" s="6">
        <v>9315000.0</v>
      </c>
    </row>
    <row r="53">
      <c r="A53" s="5">
        <v>45726.0</v>
      </c>
      <c r="B53" s="1">
        <v>200.98</v>
      </c>
      <c r="C53" s="1">
        <v>206.72</v>
      </c>
      <c r="D53" s="1">
        <v>197.0</v>
      </c>
      <c r="E53" s="1">
        <v>204.57</v>
      </c>
      <c r="F53" s="2">
        <v>204.57</v>
      </c>
      <c r="G53" s="6">
        <v>7470400.0</v>
      </c>
    </row>
    <row r="54">
      <c r="A54" s="5">
        <v>45719.0</v>
      </c>
      <c r="B54" s="1">
        <v>212.89</v>
      </c>
      <c r="C54" s="1">
        <v>216.46</v>
      </c>
      <c r="D54" s="1">
        <v>198.71</v>
      </c>
      <c r="E54" s="1">
        <v>204.33</v>
      </c>
      <c r="F54" s="2">
        <v>204.33</v>
      </c>
      <c r="G54" s="6">
        <v>9801100.0</v>
      </c>
    </row>
    <row r="55">
      <c r="A55" s="5">
        <v>45712.0</v>
      </c>
      <c r="B55" s="1">
        <v>213.21</v>
      </c>
      <c r="C55" s="1">
        <v>213.7</v>
      </c>
      <c r="D55" s="1">
        <v>206.07</v>
      </c>
      <c r="E55" s="1">
        <v>211.98</v>
      </c>
      <c r="F55" s="2">
        <v>211.98</v>
      </c>
      <c r="G55" s="6">
        <v>7390600.0</v>
      </c>
    </row>
    <row r="56"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</sheetData>
  <hyperlinks>
    <hyperlink r:id="rId1" ref="J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3.88"/>
    <col customWidth="1" min="12" max="12" width="19.25"/>
    <col customWidth="1" min="13" max="13" width="17.5"/>
    <col customWidth="1" min="22" max="22" width="16.75"/>
    <col customWidth="1" min="23" max="23" width="14.25"/>
  </cols>
  <sheetData>
    <row r="1">
      <c r="A1" s="1" t="s">
        <v>0</v>
      </c>
      <c r="B1" s="10" t="s">
        <v>12</v>
      </c>
      <c r="C1" s="11" t="s">
        <v>13</v>
      </c>
      <c r="D1" s="12" t="s">
        <v>14</v>
      </c>
      <c r="E1" s="13" t="s">
        <v>15</v>
      </c>
      <c r="H1" s="14" t="s">
        <v>16</v>
      </c>
      <c r="I1" s="15"/>
      <c r="J1" s="16"/>
      <c r="L1" s="17" t="s">
        <v>17</v>
      </c>
      <c r="M1" s="16"/>
      <c r="Q1" s="14" t="s">
        <v>18</v>
      </c>
      <c r="R1" s="15"/>
      <c r="S1" s="16"/>
      <c r="U1" s="17" t="s">
        <v>19</v>
      </c>
      <c r="V1" s="16"/>
    </row>
    <row r="2">
      <c r="A2" s="18">
        <v>46078.0</v>
      </c>
      <c r="B2" s="1">
        <f>ifna(vlookup(A2,'Valve company'!A:F,6,0),"")</f>
        <v>82</v>
      </c>
      <c r="C2" s="1">
        <v>204.51</v>
      </c>
      <c r="D2" s="19">
        <f t="shared" ref="D2:E2" si="1">ifna(B2/B3-1,"")</f>
        <v>0</v>
      </c>
      <c r="E2" s="19">
        <f t="shared" si="1"/>
        <v>0.001567167834</v>
      </c>
      <c r="H2" s="20"/>
      <c r="I2" s="21" t="s">
        <v>12</v>
      </c>
      <c r="J2" s="22" t="s">
        <v>13</v>
      </c>
      <c r="L2" s="23" t="s">
        <v>20</v>
      </c>
      <c r="M2" s="24">
        <f>_xlfn.COVARIANCE.S(D:D,E:E)</f>
        <v>-0.00003010428607</v>
      </c>
      <c r="Q2" s="25"/>
      <c r="R2" s="21" t="s">
        <v>12</v>
      </c>
      <c r="S2" s="22" t="s">
        <v>13</v>
      </c>
      <c r="U2" s="23" t="s">
        <v>21</v>
      </c>
      <c r="V2" s="26" t="s">
        <v>22</v>
      </c>
    </row>
    <row r="3">
      <c r="A3" s="18">
        <v>46077.0</v>
      </c>
      <c r="B3" s="1">
        <v>82.0</v>
      </c>
      <c r="C3" s="1">
        <f>ifna(vlookup(A3,'Take-Two company'!A:F,6,0),"")</f>
        <v>204.19</v>
      </c>
      <c r="D3" s="19">
        <f t="shared" ref="D3:E3" si="2">ifna(B3/B4-1,"")</f>
        <v>0</v>
      </c>
      <c r="E3" s="19">
        <f t="shared" si="2"/>
        <v>0</v>
      </c>
      <c r="H3" s="27" t="s">
        <v>23</v>
      </c>
      <c r="I3" s="28">
        <f t="shared" ref="I3:J3" si="3">MAX(D:D)</f>
        <v>0.07142857143</v>
      </c>
      <c r="J3" s="29">
        <f t="shared" si="3"/>
        <v>0.08988590811</v>
      </c>
      <c r="L3" s="30" t="s">
        <v>24</v>
      </c>
      <c r="M3" s="31">
        <f>CORREL(D:D,E:E)</f>
        <v>-0.03196219431</v>
      </c>
      <c r="Q3" s="23" t="s">
        <v>25</v>
      </c>
      <c r="R3" s="32">
        <f>(I16-R6)/I19</f>
        <v>-0.07462594925</v>
      </c>
      <c r="S3" s="33">
        <f>(J16-R6)/J19</f>
        <v>-0.01780885649</v>
      </c>
      <c r="U3" s="23" t="s">
        <v>26</v>
      </c>
      <c r="V3" s="26" t="s">
        <v>27</v>
      </c>
    </row>
    <row r="4">
      <c r="A4" s="18">
        <v>46076.0</v>
      </c>
      <c r="B4" s="1">
        <f>ifna(vlookup(A4,'Valve company'!A:F,6,0),"")</f>
        <v>82</v>
      </c>
      <c r="C4" s="1">
        <f>ifna(vlookup(A4,'Take-Two company'!A:F,6,0),"")</f>
        <v>204.19</v>
      </c>
      <c r="D4" s="19">
        <f t="shared" ref="D4:E4" si="4">ifna(B4/B5-1,"")</f>
        <v>0</v>
      </c>
      <c r="E4" s="19">
        <f t="shared" si="4"/>
        <v>0.02238133387</v>
      </c>
      <c r="H4" s="27" t="s">
        <v>28</v>
      </c>
      <c r="I4" s="28">
        <f t="shared" ref="I4:J4" si="5">MIN(D:D)</f>
        <v>-0.08196721311</v>
      </c>
      <c r="J4" s="29">
        <f t="shared" si="5"/>
        <v>-0.1121652292</v>
      </c>
      <c r="Q4" s="34"/>
      <c r="R4" s="35"/>
      <c r="S4" s="36"/>
      <c r="U4" s="23" t="s">
        <v>29</v>
      </c>
      <c r="V4" s="26" t="s">
        <v>30</v>
      </c>
    </row>
    <row r="5">
      <c r="A5" s="18">
        <v>46069.0</v>
      </c>
      <c r="B5" s="1">
        <f>ifna(vlookup(A5,'Valve company'!A:F,6,0),"")</f>
        <v>82</v>
      </c>
      <c r="C5" s="1">
        <f>ifna(vlookup(A5,'Take-Two company'!A:F,6,0),"")</f>
        <v>199.72</v>
      </c>
      <c r="D5" s="19">
        <f t="shared" ref="D5:E5" si="6">ifna(B5/B6-1,"")</f>
        <v>0</v>
      </c>
      <c r="E5" s="19">
        <f t="shared" si="6"/>
        <v>0.03123870501</v>
      </c>
      <c r="H5" s="37" t="s">
        <v>31</v>
      </c>
      <c r="I5" s="28">
        <f t="shared" ref="I5:J5" si="7">I3-I4</f>
        <v>0.1533957845</v>
      </c>
      <c r="J5" s="29">
        <f t="shared" si="7"/>
        <v>0.2020511373</v>
      </c>
      <c r="Q5" s="23" t="s">
        <v>32</v>
      </c>
      <c r="R5" s="38">
        <v>0.0396</v>
      </c>
      <c r="S5" s="36"/>
      <c r="U5" s="23" t="s">
        <v>33</v>
      </c>
      <c r="V5" s="26" t="s">
        <v>34</v>
      </c>
    </row>
    <row r="6">
      <c r="A6" s="18">
        <v>46062.0</v>
      </c>
      <c r="B6" s="1">
        <f>ifna(vlookup(A6,'Valve company'!A:F,6,0),"")</f>
        <v>82</v>
      </c>
      <c r="C6" s="1">
        <f>ifna(vlookup(A6,'Take-Two company'!A:F,6,0),"")</f>
        <v>193.67</v>
      </c>
      <c r="D6" s="19">
        <f t="shared" ref="D6:E6" si="8">ifna(B6/B7-1,"")</f>
        <v>0.01485148515</v>
      </c>
      <c r="E6" s="19">
        <f t="shared" si="8"/>
        <v>-0.009816452784</v>
      </c>
      <c r="H6" s="39"/>
      <c r="I6" s="40"/>
      <c r="J6" s="41"/>
      <c r="Q6" s="30" t="s">
        <v>35</v>
      </c>
      <c r="R6" s="42">
        <f>R5/52</f>
        <v>0.0007615384615</v>
      </c>
      <c r="S6" s="43"/>
      <c r="U6" s="25"/>
      <c r="V6" s="44"/>
    </row>
    <row r="7">
      <c r="A7" s="18">
        <v>46055.0</v>
      </c>
      <c r="B7" s="1">
        <f>ifna(vlookup(A7,'Valve company'!A:F,6,0),"")</f>
        <v>80.8</v>
      </c>
      <c r="C7" s="1">
        <f>ifna(vlookup(A7,'Take-Two company'!A:F,6,0),"")</f>
        <v>195.59</v>
      </c>
      <c r="D7" s="19">
        <f t="shared" ref="D7:E7" si="9">ifna(B7/B8-1,"")</f>
        <v>-0.01101591187</v>
      </c>
      <c r="E7" s="19">
        <f t="shared" si="9"/>
        <v>-0.1121652292</v>
      </c>
      <c r="H7" s="27" t="s">
        <v>36</v>
      </c>
      <c r="I7" s="28">
        <f>_xlfn.PERCENTILE.INC(D:D,0.75)</f>
        <v>0.008352818401</v>
      </c>
      <c r="J7" s="29">
        <f>(_xlfn.PERCENTILE.INC(E:E,0.75))</f>
        <v>0.02423795902</v>
      </c>
      <c r="U7" s="23" t="s">
        <v>37</v>
      </c>
      <c r="V7" s="45">
        <v>54.0</v>
      </c>
    </row>
    <row r="8">
      <c r="A8" s="18">
        <v>46048.0</v>
      </c>
      <c r="B8" s="1">
        <f>ifna(vlookup(A8,'Valve company'!A:F,6,0),"")</f>
        <v>81.7</v>
      </c>
      <c r="C8" s="1">
        <f>ifna(vlookup(A8,'Take-Two company'!A:F,6,0),"")</f>
        <v>220.3</v>
      </c>
      <c r="D8" s="19">
        <f t="shared" ref="D8:E8" si="10">ifna(B8/B9-1,"")</f>
        <v>-0.01209189843</v>
      </c>
      <c r="E8" s="19">
        <f t="shared" si="10"/>
        <v>-0.1034875677</v>
      </c>
      <c r="H8" s="27" t="s">
        <v>38</v>
      </c>
      <c r="I8" s="28">
        <f t="shared" ref="I8:J8" si="11">(_xlfn.PERCENTILE.INC(D:D,0.25))</f>
        <v>-0.01122855424</v>
      </c>
      <c r="J8" s="29">
        <f t="shared" si="11"/>
        <v>-0.01678780977</v>
      </c>
      <c r="U8" s="46" t="s">
        <v>39</v>
      </c>
      <c r="V8" s="47">
        <v>53.0</v>
      </c>
    </row>
    <row r="9">
      <c r="A9" s="18">
        <v>46041.0</v>
      </c>
      <c r="B9" s="1">
        <f>ifna(vlookup(A9,'Valve company'!A:F,6,0),"")</f>
        <v>82.7</v>
      </c>
      <c r="C9" s="1">
        <f>ifna(vlookup(A9,'Take-Two company'!A:F,6,0),"")</f>
        <v>245.73</v>
      </c>
      <c r="D9" s="19">
        <f t="shared" ref="D9:E9" si="12">ifna(B9/B10-1,"")</f>
        <v>0.01223990208</v>
      </c>
      <c r="E9" s="19">
        <f t="shared" si="12"/>
        <v>0.02327808778</v>
      </c>
      <c r="H9" s="37" t="s">
        <v>40</v>
      </c>
      <c r="I9" s="28">
        <f t="shared" ref="I9:J9" si="13">I7-I8</f>
        <v>0.01958137264</v>
      </c>
      <c r="J9" s="29">
        <f t="shared" si="13"/>
        <v>0.04102576878</v>
      </c>
      <c r="U9" s="46" t="s">
        <v>41</v>
      </c>
      <c r="V9" s="47">
        <v>53.0</v>
      </c>
    </row>
    <row r="10">
      <c r="A10" s="18">
        <v>46034.0</v>
      </c>
      <c r="B10" s="1">
        <f>ifna(vlookup(A10,'Valve company'!A:F,6,0),"")</f>
        <v>81.7</v>
      </c>
      <c r="C10" s="1">
        <f>ifna(vlookup(A10,'Take-Two company'!A:F,6,0),"")</f>
        <v>240.14</v>
      </c>
      <c r="D10" s="19">
        <f t="shared" ref="D10:E10" si="14">ifna(B10/B11-1,"")</f>
        <v>0.007398273736</v>
      </c>
      <c r="E10" s="19">
        <f t="shared" si="14"/>
        <v>-0.04216026485</v>
      </c>
      <c r="H10" s="37" t="s">
        <v>42</v>
      </c>
      <c r="I10" s="48">
        <f t="shared" ref="I10:J10" si="15">I9*1.5</f>
        <v>0.02937205896</v>
      </c>
      <c r="J10" s="49">
        <f t="shared" si="15"/>
        <v>0.06153865318</v>
      </c>
      <c r="U10" s="46" t="s">
        <v>43</v>
      </c>
      <c r="V10" s="47" t="s">
        <v>44</v>
      </c>
    </row>
    <row r="11">
      <c r="A11" s="18">
        <v>46027.0</v>
      </c>
      <c r="B11" s="1">
        <f>ifna(vlookup(A11,'Valve company'!A:F,6,0),"")</f>
        <v>81.1</v>
      </c>
      <c r="C11" s="1">
        <f>ifna(vlookup(A11,'Take-Two company'!A:F,6,0),"")</f>
        <v>250.71</v>
      </c>
      <c r="D11" s="19">
        <f t="shared" ref="D11:E11" si="16">ifna(B11/B12-1,"")</f>
        <v>-0.00612745098</v>
      </c>
      <c r="E11" s="19">
        <f t="shared" si="16"/>
        <v>-0.00353736089</v>
      </c>
      <c r="H11" s="37" t="s">
        <v>45</v>
      </c>
      <c r="I11" s="50">
        <f t="shared" ref="I11:J11" si="17">I7+I10</f>
        <v>0.03772487736</v>
      </c>
      <c r="J11" s="51">
        <f t="shared" si="17"/>
        <v>0.0857766122</v>
      </c>
      <c r="U11" s="52" t="s">
        <v>46</v>
      </c>
      <c r="V11" s="53">
        <f>J18/I18</f>
        <v>2.45894342</v>
      </c>
    </row>
    <row r="12">
      <c r="A12" s="18">
        <v>46020.0</v>
      </c>
      <c r="B12" s="1">
        <f>ifna(vlookup(A12,'Valve company'!A:F,6,0),"")</f>
        <v>81.6</v>
      </c>
      <c r="C12" s="1">
        <f>ifna(vlookup(A12,'Take-Two company'!A:F,6,0),"")</f>
        <v>251.6</v>
      </c>
      <c r="D12" s="19">
        <f t="shared" ref="D12:E12" si="18">ifna(B12/B13-1,"")</f>
        <v>-0.003663003663</v>
      </c>
      <c r="E12" s="19">
        <f t="shared" si="18"/>
        <v>-0.01753289859</v>
      </c>
      <c r="H12" s="23" t="s">
        <v>47</v>
      </c>
      <c r="I12" s="50">
        <f t="shared" ref="I12:J12" si="19">I8-I10</f>
        <v>-0.0406006132</v>
      </c>
      <c r="J12" s="51">
        <f t="shared" si="19"/>
        <v>-0.07832646294</v>
      </c>
      <c r="U12" s="46" t="s">
        <v>48</v>
      </c>
      <c r="V12" s="54">
        <f>_xlfn.F.DIST.RT(V11,53,53)</f>
        <v>0.000669916684</v>
      </c>
    </row>
    <row r="13">
      <c r="A13" s="18">
        <v>46013.0</v>
      </c>
      <c r="B13" s="1">
        <f>ifna(vlookup(A13,'Valve company'!A:F,6,0),"")</f>
        <v>81.9</v>
      </c>
      <c r="C13" s="1">
        <f>ifna(vlookup(A13,'Take-Two company'!A:F,6,0),"")</f>
        <v>256.09</v>
      </c>
      <c r="D13" s="19">
        <f t="shared" ref="D13:E13" si="20">ifna(B13/B14-1,"")</f>
        <v>0</v>
      </c>
      <c r="E13" s="19">
        <f t="shared" si="20"/>
        <v>0.03512530315</v>
      </c>
      <c r="H13" s="34"/>
      <c r="I13" s="35"/>
      <c r="J13" s="36"/>
      <c r="U13" s="55" t="s">
        <v>49</v>
      </c>
      <c r="V13" s="56"/>
    </row>
    <row r="14">
      <c r="A14" s="18">
        <v>46006.0</v>
      </c>
      <c r="B14" s="1">
        <f>ifna(vlookup(A14,'Valve company'!A:F,6,0),"")</f>
        <v>81.9</v>
      </c>
      <c r="C14" s="1">
        <f>ifna(vlookup(A14,'Take-Two company'!A:F,6,0),"")</f>
        <v>247.4</v>
      </c>
      <c r="D14" s="19">
        <f t="shared" ref="D14:E14" si="21">ifna(B14/B15-1,"")</f>
        <v>0.008620689655</v>
      </c>
      <c r="E14" s="19">
        <f t="shared" si="21"/>
        <v>0.0245579161</v>
      </c>
      <c r="H14" s="23" t="s">
        <v>50</v>
      </c>
      <c r="I14" s="57">
        <f t="shared" ref="I14:J14" si="22">(I4-I16)/I19</f>
        <v>-3.300948821</v>
      </c>
      <c r="J14" s="58">
        <f t="shared" si="22"/>
        <v>-2.920611277</v>
      </c>
    </row>
    <row r="15">
      <c r="A15" s="18">
        <v>45999.0</v>
      </c>
      <c r="B15" s="1">
        <f>ifna(vlookup(A15,'Valve company'!A:F,6,0),"")</f>
        <v>81.2</v>
      </c>
      <c r="C15" s="1">
        <f>ifna(vlookup(A15,'Take-Two company'!A:F,6,0),"")</f>
        <v>241.47</v>
      </c>
      <c r="D15" s="19">
        <f t="shared" ref="D15:E15" si="23">ifna(B15/B16-1,"")</f>
        <v>-0.01575757576</v>
      </c>
      <c r="E15" s="19">
        <f t="shared" si="23"/>
        <v>-0.02585928675</v>
      </c>
      <c r="H15" s="23" t="s">
        <v>51</v>
      </c>
      <c r="I15" s="57">
        <f t="shared" ref="I15:J15" si="24">(I3-I16)/I19</f>
        <v>2.95804736</v>
      </c>
      <c r="J15" s="58">
        <f t="shared" si="24"/>
        <v>2.336876758</v>
      </c>
    </row>
    <row r="16">
      <c r="A16" s="18">
        <v>45992.0</v>
      </c>
      <c r="B16" s="1">
        <f>ifna(vlookup(A16,'Valve company'!A:F,6,0),"")</f>
        <v>82.5</v>
      </c>
      <c r="C16" s="1">
        <f>ifna(vlookup(A16,'Take-Two company'!A:F,6,0),"")</f>
        <v>247.88</v>
      </c>
      <c r="D16" s="19">
        <f t="shared" ref="D16:E16" si="25">ifna(B16/B17-1,"")</f>
        <v>0.01600985222</v>
      </c>
      <c r="E16" s="19">
        <f t="shared" si="25"/>
        <v>0.007355630512</v>
      </c>
      <c r="H16" s="27" t="s">
        <v>52</v>
      </c>
      <c r="I16" s="28">
        <f t="shared" ref="I16:J16" si="26">AVERAGE(D:D)</f>
        <v>-0.001067397953</v>
      </c>
      <c r="J16" s="29">
        <f t="shared" si="26"/>
        <v>0.00007712421561</v>
      </c>
    </row>
    <row r="17">
      <c r="A17" s="18">
        <v>45985.0</v>
      </c>
      <c r="B17" s="1">
        <f>ifna(vlookup(A17,'Valve company'!A:F,6,0),"")</f>
        <v>81.2</v>
      </c>
      <c r="C17" s="1">
        <f>ifna(vlookup(A17,'Take-Two company'!A:F,6,0),"")</f>
        <v>246.07</v>
      </c>
      <c r="D17" s="19">
        <f t="shared" ref="D17:E17" si="27">ifna(B17/B18-1,"")</f>
        <v>0.00495049505</v>
      </c>
      <c r="E17" s="19">
        <f t="shared" si="27"/>
        <v>0.04501635028</v>
      </c>
      <c r="H17" s="23" t="s">
        <v>53</v>
      </c>
      <c r="I17" s="59">
        <f t="shared" ref="I17:J17" si="28">AVEDEV(D:D)*54/53</f>
        <v>0.01541118409</v>
      </c>
      <c r="J17" s="59">
        <f t="shared" si="28"/>
        <v>0.02811700628</v>
      </c>
    </row>
    <row r="18">
      <c r="A18" s="18">
        <v>45978.0</v>
      </c>
      <c r="B18" s="1">
        <f>ifna(vlookup(A18,'Valve company'!A:F,6,0),"")</f>
        <v>80.8</v>
      </c>
      <c r="C18" s="1">
        <f>ifna(vlookup(A18,'Take-Two company'!A:F,6,0),"")</f>
        <v>235.47</v>
      </c>
      <c r="D18" s="19">
        <f t="shared" ref="D18:E18" si="29">ifna(B18/B19-1,"")</f>
        <v>-0.01703163017</v>
      </c>
      <c r="E18" s="19">
        <f t="shared" si="29"/>
        <v>0.001872101434</v>
      </c>
      <c r="H18" s="27" t="s">
        <v>54</v>
      </c>
      <c r="I18" s="28">
        <f t="shared" ref="I18:J18" si="30">_xlfn.VAR.S(D:D)</f>
        <v>0.0006006444616</v>
      </c>
      <c r="J18" s="29">
        <f t="shared" si="30"/>
        <v>0.001476950747</v>
      </c>
    </row>
    <row r="19">
      <c r="A19" s="18">
        <v>45971.0</v>
      </c>
      <c r="B19" s="1">
        <f>ifna(vlookup(A19,'Valve company'!A:F,6,0),"")</f>
        <v>82.2</v>
      </c>
      <c r="C19" s="1">
        <f>ifna(vlookup(A19,'Take-Two company'!A:F,6,0),"")</f>
        <v>235.03</v>
      </c>
      <c r="D19" s="19">
        <f t="shared" ref="D19:E19" si="31">ifna(B19/B20-1,"")</f>
        <v>-0.004842615012</v>
      </c>
      <c r="E19" s="19">
        <f t="shared" si="31"/>
        <v>0.01306034483</v>
      </c>
      <c r="H19" s="27" t="s">
        <v>55</v>
      </c>
      <c r="I19" s="28">
        <f t="shared" ref="I19:J19" si="32">_xlfn.STDEV.S(D:D)</f>
        <v>0.02450804891</v>
      </c>
      <c r="J19" s="29">
        <f t="shared" si="32"/>
        <v>0.03843111691</v>
      </c>
    </row>
    <row r="20">
      <c r="A20" s="18">
        <v>45964.0</v>
      </c>
      <c r="B20" s="1">
        <f>ifna(vlookup(A20,'Valve company'!A:F,6,0),"")</f>
        <v>82.6</v>
      </c>
      <c r="C20" s="1">
        <f>ifna(vlookup(A20,'Take-Two company'!A:F,6,0),"")</f>
        <v>232</v>
      </c>
      <c r="D20" s="19">
        <f t="shared" ref="D20:E20" si="33">ifna(B20/B21-1,"")</f>
        <v>-0.01314217443</v>
      </c>
      <c r="E20" s="19">
        <f t="shared" si="33"/>
        <v>-0.09505792409</v>
      </c>
      <c r="H20" s="60" t="s">
        <v>56</v>
      </c>
      <c r="I20" s="61">
        <f t="shared" ref="I20:J20" si="34">I19/I16</f>
        <v>-22.96055454</v>
      </c>
      <c r="J20" s="62">
        <f t="shared" si="34"/>
        <v>498.3015595</v>
      </c>
    </row>
    <row r="21">
      <c r="A21" s="18">
        <v>45957.0</v>
      </c>
      <c r="B21" s="1">
        <f>ifna(vlookup(A21,'Valve company'!A:F,6,0),"")</f>
        <v>83.7</v>
      </c>
      <c r="C21" s="1">
        <f>ifna(vlookup(A21,'Take-Two company'!A:F,6,0),"")</f>
        <v>256.37</v>
      </c>
      <c r="D21" s="19">
        <f t="shared" ref="D21:E21" si="35">ifna(B21/B22-1,"")</f>
        <v>-0.008293838863</v>
      </c>
      <c r="E21" s="19">
        <f t="shared" si="35"/>
        <v>0.004899655064</v>
      </c>
    </row>
    <row r="22">
      <c r="A22" s="18">
        <v>45950.0</v>
      </c>
      <c r="B22" s="1">
        <f>ifna(vlookup(A22,'Valve company'!A:F,6,0),"")</f>
        <v>84.4</v>
      </c>
      <c r="C22" s="1">
        <f>ifna(vlookup(A22,'Take-Two company'!A:F,6,0),"")</f>
        <v>255.12</v>
      </c>
      <c r="D22" s="19">
        <f t="shared" ref="D22:E22" si="36">ifna(B22/B23-1,"")</f>
        <v>-0.008225616921</v>
      </c>
      <c r="E22" s="19">
        <f t="shared" si="36"/>
        <v>-0.02383776545</v>
      </c>
    </row>
    <row r="23">
      <c r="A23" s="18">
        <v>45943.0</v>
      </c>
      <c r="B23" s="1">
        <f>ifna(vlookup(A23,'Valve company'!A:F,6,0),"")</f>
        <v>85.1</v>
      </c>
      <c r="C23" s="1">
        <f>ifna(vlookup(A23,'Take-Two company'!A:F,6,0),"")</f>
        <v>261.35</v>
      </c>
      <c r="D23" s="19">
        <f t="shared" ref="D23:E23" si="37">ifna(B23/B24-1,"")</f>
        <v>-0.01390498262</v>
      </c>
      <c r="E23" s="19">
        <f t="shared" si="37"/>
        <v>0.03722665397</v>
      </c>
    </row>
    <row r="24">
      <c r="A24" s="18">
        <v>45936.0</v>
      </c>
      <c r="B24" s="1">
        <f>ifna(vlookup(A24,'Valve company'!A:F,6,0),"")</f>
        <v>86.3</v>
      </c>
      <c r="C24" s="1">
        <f>ifna(vlookup(A24,'Take-Two company'!A:F,6,0),"")</f>
        <v>251.97</v>
      </c>
      <c r="D24" s="19">
        <f t="shared" ref="D24:E24" si="38">ifna(B24/B25-1,"")</f>
        <v>-0.01371428571</v>
      </c>
      <c r="E24" s="19">
        <f t="shared" si="38"/>
        <v>-0.02215926731</v>
      </c>
    </row>
    <row r="25">
      <c r="A25" s="18">
        <v>45929.0</v>
      </c>
      <c r="B25" s="1">
        <f>ifna(vlookup(A25,'Valve company'!A:F,6,0),"")</f>
        <v>87.5</v>
      </c>
      <c r="C25" s="1">
        <f>ifna(vlookup(A25,'Take-Two company'!A:F,6,0),"")</f>
        <v>257.68</v>
      </c>
      <c r="D25" s="19">
        <f t="shared" ref="D25:E25" si="39">ifna(B25/B26-1,"")</f>
        <v>-0.01129943503</v>
      </c>
      <c r="E25" s="19">
        <f t="shared" si="39"/>
        <v>0.006090894893</v>
      </c>
    </row>
    <row r="26">
      <c r="A26" s="18">
        <v>45922.0</v>
      </c>
      <c r="B26" s="1">
        <f>ifna(vlookup(A26,'Valve company'!A:F,6,0),"")</f>
        <v>88.5</v>
      </c>
      <c r="C26" s="1">
        <f>ifna(vlookup(A26,'Take-Two company'!A:F,6,0),"")</f>
        <v>256.12</v>
      </c>
      <c r="D26" s="19">
        <f t="shared" ref="D26:E26" si="40">ifna(B26/B27-1,"")</f>
        <v>-0.02747252747</v>
      </c>
      <c r="E26" s="19">
        <f t="shared" si="40"/>
        <v>0.02100857086</v>
      </c>
    </row>
    <row r="27">
      <c r="A27" s="18">
        <v>45915.0</v>
      </c>
      <c r="B27" s="1">
        <f>ifna(vlookup(A27,'Valve company'!A:F,6,0),"")</f>
        <v>91</v>
      </c>
      <c r="C27" s="1">
        <f>ifna(vlookup(A27,'Take-Two company'!A:F,6,0),"")</f>
        <v>250.85</v>
      </c>
      <c r="D27" s="19">
        <f t="shared" ref="D27:E27" si="41">ifna(B27/B28-1,"")</f>
        <v>0.01111111111</v>
      </c>
      <c r="E27" s="19">
        <f t="shared" si="41"/>
        <v>0.018638837</v>
      </c>
    </row>
    <row r="28">
      <c r="A28" s="18">
        <v>45908.0</v>
      </c>
      <c r="B28" s="1">
        <f>ifna(vlookup(A28,'Valve company'!A:F,6,0),"")</f>
        <v>90</v>
      </c>
      <c r="C28" s="1">
        <f>ifna(vlookup(A28,'Take-Two company'!A:F,6,0),"")</f>
        <v>246.26</v>
      </c>
      <c r="D28" s="19">
        <f t="shared" ref="D28:E28" si="42">ifna(B28/B29-1,"")</f>
        <v>0.07142857143</v>
      </c>
      <c r="E28" s="19">
        <f t="shared" si="42"/>
        <v>0.02745327103</v>
      </c>
    </row>
    <row r="29">
      <c r="A29" s="18">
        <v>45901.0</v>
      </c>
      <c r="B29" s="1">
        <f>ifna(vlookup(A29,'Valve company'!A:F,6,0),"")</f>
        <v>84</v>
      </c>
      <c r="C29" s="1">
        <f>ifna(vlookup(A29,'Take-Two company'!A:F,6,0),"")</f>
        <v>239.68</v>
      </c>
      <c r="D29" s="19">
        <f t="shared" ref="D29:E29" si="43">ifna(B29/B30-1,"")</f>
        <v>0.0447761194</v>
      </c>
      <c r="E29" s="19">
        <f t="shared" si="43"/>
        <v>0.02747888713</v>
      </c>
    </row>
    <row r="30">
      <c r="A30" s="18">
        <v>45894.0</v>
      </c>
      <c r="B30" s="1">
        <f>ifna(vlookup(A30,'Valve company'!A:F,6,0),"")</f>
        <v>80.4</v>
      </c>
      <c r="C30" s="1">
        <f>ifna(vlookup(A30,'Take-Two company'!A:F,6,0),"")</f>
        <v>233.27</v>
      </c>
      <c r="D30" s="19">
        <f t="shared" ref="D30:E30" si="44">ifna(B30/B31-1,"")</f>
        <v>0.001245330012</v>
      </c>
      <c r="E30" s="19">
        <f t="shared" si="44"/>
        <v>0.01851285858</v>
      </c>
    </row>
    <row r="31">
      <c r="A31" s="18">
        <v>45887.0</v>
      </c>
      <c r="B31" s="1">
        <f>ifna(vlookup(A31,'Valve company'!A:F,6,0),"")</f>
        <v>80.3</v>
      </c>
      <c r="C31" s="1">
        <f>ifna(vlookup(A31,'Take-Two company'!A:F,6,0),"")</f>
        <v>229.03</v>
      </c>
      <c r="D31" s="19">
        <f t="shared" ref="D31:E31" si="45">ifna(B31/B32-1,"")</f>
        <v>0.02292993631</v>
      </c>
      <c r="E31" s="19">
        <f t="shared" si="45"/>
        <v>-0.01356706004</v>
      </c>
    </row>
    <row r="32">
      <c r="A32" s="18">
        <v>45880.0</v>
      </c>
      <c r="B32" s="1">
        <f>ifna(vlookup(A32,'Valve company'!A:F,6,0),"")</f>
        <v>78.5</v>
      </c>
      <c r="C32" s="1">
        <f>ifna(vlookup(A32,'Take-Two company'!A:F,6,0),"")</f>
        <v>232.18</v>
      </c>
      <c r="D32" s="19">
        <f t="shared" ref="D32:E32" si="46">ifna(B32/B33-1,"")</f>
        <v>0.0142118863</v>
      </c>
      <c r="E32" s="19">
        <f t="shared" si="46"/>
        <v>0.068132677</v>
      </c>
    </row>
    <row r="33">
      <c r="A33" s="18">
        <v>45873.0</v>
      </c>
      <c r="B33" s="1">
        <f>ifna(vlookup(A33,'Valve company'!A:F,6,0),"")</f>
        <v>77.4</v>
      </c>
      <c r="C33" s="1">
        <f>ifna(vlookup(A33,'Take-Two company'!A:F,6,0),"")</f>
        <v>217.37</v>
      </c>
      <c r="D33" s="19">
        <f t="shared" ref="D33:E33" si="47">ifna(B33/B34-1,"")</f>
        <v>0.07053941909</v>
      </c>
      <c r="E33" s="19">
        <f t="shared" si="47"/>
        <v>-0.01455254329</v>
      </c>
    </row>
    <row r="34">
      <c r="A34" s="18">
        <v>45866.0</v>
      </c>
      <c r="B34" s="1">
        <f>ifna(vlookup(A34,'Valve company'!A:F,6,0),"")</f>
        <v>72.3</v>
      </c>
      <c r="C34" s="1">
        <f>ifna(vlookup(A34,'Take-Two company'!A:F,6,0),"")</f>
        <v>220.58</v>
      </c>
      <c r="D34" s="19">
        <f t="shared" ref="D34:E34" si="48">ifna(B34/B35-1,"")</f>
        <v>-0.050558109</v>
      </c>
      <c r="E34" s="19">
        <f t="shared" si="48"/>
        <v>-0.01855394883</v>
      </c>
    </row>
    <row r="35">
      <c r="A35" s="18">
        <v>45859.0</v>
      </c>
      <c r="B35" s="1">
        <f>ifna(vlookup(A35,'Valve company'!A:F,6,0),"")</f>
        <v>76.15</v>
      </c>
      <c r="C35" s="1">
        <f>ifna(vlookup(A35,'Take-Two company'!A:F,6,0),"")</f>
        <v>224.75</v>
      </c>
      <c r="D35" s="19">
        <f t="shared" ref="D35:E35" si="49">ifna(B35/B36-1,"")</f>
        <v>-0.004965373056</v>
      </c>
      <c r="E35" s="19">
        <f t="shared" si="49"/>
        <v>-0.02781382473</v>
      </c>
    </row>
    <row r="36">
      <c r="A36" s="18">
        <v>45852.0</v>
      </c>
      <c r="B36" s="1">
        <f>ifna(vlookup(A36,'Valve company'!A:F,6,0),"")</f>
        <v>76.53</v>
      </c>
      <c r="C36" s="1">
        <f>ifna(vlookup(A36,'Take-Two company'!A:F,6,0),"")</f>
        <v>231.18</v>
      </c>
      <c r="D36" s="19">
        <f t="shared" ref="D36:E36" si="50">ifna(B36/B37-1,"")</f>
        <v>0.009897070467</v>
      </c>
      <c r="E36" s="19">
        <f t="shared" si="50"/>
        <v>-0.01171340629</v>
      </c>
    </row>
    <row r="37">
      <c r="A37" s="18">
        <v>45845.0</v>
      </c>
      <c r="B37" s="1">
        <f>ifna(vlookup(A37,'Valve company'!A:F,6,0),"")</f>
        <v>75.78</v>
      </c>
      <c r="C37" s="1">
        <f>ifna(vlookup(A37,'Take-Two company'!A:F,6,0),"")</f>
        <v>233.92</v>
      </c>
      <c r="D37" s="19">
        <f t="shared" ref="D37:E37" si="51">ifna(B37/B38-1,"")</f>
        <v>0.01636266094</v>
      </c>
      <c r="E37" s="19">
        <f t="shared" si="51"/>
        <v>-0.0257798509</v>
      </c>
    </row>
    <row r="38">
      <c r="A38" s="18">
        <v>45838.0</v>
      </c>
      <c r="B38" s="1">
        <f>ifna(vlookup(A38,'Valve company'!A:F,6,0),"")</f>
        <v>74.56</v>
      </c>
      <c r="C38" s="1">
        <f>ifna(vlookup(A38,'Take-Two company'!A:F,6,0),"")</f>
        <v>240.11</v>
      </c>
      <c r="D38" s="19">
        <f t="shared" ref="D38:E38" si="52">ifna(B38/B39-1,"")</f>
        <v>-0.002408348943</v>
      </c>
      <c r="E38" s="19">
        <f t="shared" si="52"/>
        <v>-0.005508614977</v>
      </c>
    </row>
    <row r="39">
      <c r="A39" s="18">
        <v>45831.0</v>
      </c>
      <c r="B39" s="1">
        <f>ifna(vlookup(A39,'Valve company'!A:F,6,0),"")</f>
        <v>74.74</v>
      </c>
      <c r="C39" s="1">
        <f>ifna(vlookup(A39,'Take-Two company'!A:F,6,0),"")</f>
        <v>241.44</v>
      </c>
      <c r="D39" s="19">
        <f t="shared" ref="D39:E39" si="53">ifna(B39/B40-1,"")</f>
        <v>0.007549204637</v>
      </c>
      <c r="E39" s="19">
        <f t="shared" si="53"/>
        <v>0.01287913748</v>
      </c>
    </row>
    <row r="40">
      <c r="A40" s="18">
        <v>45824.0</v>
      </c>
      <c r="B40" s="1">
        <f>ifna(vlookup(A40,'Valve company'!A:F,6,0),"")</f>
        <v>74.18</v>
      </c>
      <c r="C40" s="1">
        <f>ifna(vlookup(A40,'Take-Two company'!A:F,6,0),"")</f>
        <v>238.37</v>
      </c>
      <c r="D40" s="19">
        <f t="shared" ref="D40:E40" si="54">ifna(B40/B41-1,"")</f>
        <v>-0.007492641156</v>
      </c>
      <c r="E40" s="19">
        <f t="shared" si="54"/>
        <v>0.0353559484</v>
      </c>
    </row>
    <row r="41">
      <c r="A41" s="18">
        <v>45817.0</v>
      </c>
      <c r="B41" s="1">
        <f>ifna(vlookup(A41,'Valve company'!A:F,6,0),"")</f>
        <v>74.74</v>
      </c>
      <c r="C41" s="1">
        <f>ifna(vlookup(A41,'Take-Two company'!A:F,6,0),"")</f>
        <v>230.23</v>
      </c>
      <c r="D41" s="19">
        <f t="shared" ref="D41:E41" si="55">ifna(B41/B42-1,"")</f>
        <v>-0.01242071882</v>
      </c>
      <c r="E41" s="19">
        <f t="shared" si="55"/>
        <v>-0.01069955311</v>
      </c>
    </row>
    <row r="42">
      <c r="A42" s="18">
        <v>45810.0</v>
      </c>
      <c r="B42" s="1">
        <f>ifna(vlookup(A42,'Valve company'!A:F,6,0),"")</f>
        <v>75.68</v>
      </c>
      <c r="C42" s="1">
        <f>ifna(vlookup(A42,'Take-Two company'!A:F,6,0),"")</f>
        <v>232.72</v>
      </c>
      <c r="D42" s="19">
        <f t="shared" ref="D42:E42" si="56">ifna(B42/B43-1,"")</f>
        <v>-0.001319609396</v>
      </c>
      <c r="E42" s="19">
        <f t="shared" si="56"/>
        <v>0.02846031465</v>
      </c>
    </row>
    <row r="43">
      <c r="A43" s="18">
        <v>45803.0</v>
      </c>
      <c r="B43" s="1">
        <f>ifna(vlookup(A43,'Valve company'!A:F,6,0),"")</f>
        <v>75.78</v>
      </c>
      <c r="C43" s="1">
        <f>ifna(vlookup(A43,'Take-Two company'!A:F,6,0),"")</f>
        <v>226.28</v>
      </c>
      <c r="D43" s="19">
        <f t="shared" ref="D43:E43" si="57">ifna(B43/B44-1,"")</f>
        <v>0</v>
      </c>
      <c r="E43" s="19">
        <f t="shared" si="57"/>
        <v>0.005733588159</v>
      </c>
    </row>
    <row r="44">
      <c r="A44" s="18">
        <v>45796.0</v>
      </c>
      <c r="B44" s="1">
        <f>ifna(vlookup(A44,'Valve company'!A:F,6,0),"")</f>
        <v>75.78</v>
      </c>
      <c r="C44" s="1">
        <f>ifna(vlookup(A44,'Take-Two company'!A:F,6,0),"")</f>
        <v>224.99</v>
      </c>
      <c r="D44" s="19">
        <f t="shared" ref="D44:E44" si="58">ifna(B44/B45-1,"")</f>
        <v>0</v>
      </c>
      <c r="E44" s="19">
        <f t="shared" si="58"/>
        <v>-0.007718091206</v>
      </c>
    </row>
    <row r="45">
      <c r="A45" s="18">
        <v>45789.0</v>
      </c>
      <c r="B45" s="1">
        <f>ifna(vlookup(A45,'Valve company'!A:F,6,0),"")</f>
        <v>75.78</v>
      </c>
      <c r="C45" s="1">
        <f>ifna(vlookup(A45,'Take-Two company'!A:F,6,0),"")</f>
        <v>226.74</v>
      </c>
      <c r="D45" s="19">
        <f t="shared" ref="D45:E45" si="59">ifna(B45/B46-1,"")</f>
        <v>0.005039787798</v>
      </c>
      <c r="E45" s="19">
        <f t="shared" si="59"/>
        <v>0.0008386669609</v>
      </c>
    </row>
    <row r="46">
      <c r="A46" s="18">
        <v>45782.0</v>
      </c>
      <c r="B46" s="1">
        <f>ifna(vlookup(A46,'Valve company'!A:F,6,0),"")</f>
        <v>75.4</v>
      </c>
      <c r="C46" s="1">
        <f>ifna(vlookup(A46,'Take-Two company'!A:F,6,0),"")</f>
        <v>226.55</v>
      </c>
      <c r="D46" s="19">
        <f t="shared" ref="D46:E46" si="60">ifna(B46/B47-1,"")</f>
        <v>-0.06740878169</v>
      </c>
      <c r="E46" s="19">
        <f t="shared" si="60"/>
        <v>0.03211845103</v>
      </c>
    </row>
    <row r="47">
      <c r="A47" s="18">
        <v>45775.0</v>
      </c>
      <c r="B47" s="1">
        <f>ifna(vlookup(A47,'Valve company'!A:F,6,0),"")</f>
        <v>80.85</v>
      </c>
      <c r="C47" s="1">
        <f>ifna(vlookup(A47,'Take-Two company'!A:F,6,0),"")</f>
        <v>219.5</v>
      </c>
      <c r="D47" s="19">
        <f t="shared" ref="D47:E47" si="61">ifna(B47/B48-1,"")</f>
        <v>0.02497464503</v>
      </c>
      <c r="E47" s="19">
        <f t="shared" si="61"/>
        <v>-0.02608927145</v>
      </c>
    </row>
    <row r="48">
      <c r="A48" s="18">
        <v>45768.0</v>
      </c>
      <c r="B48" s="1">
        <f>ifna(vlookup(A48,'Valve company'!A:F,6,0),"")</f>
        <v>78.88</v>
      </c>
      <c r="C48" s="1">
        <f>ifna(vlookup(A48,'Take-Two company'!A:F,6,0),"")</f>
        <v>225.38</v>
      </c>
      <c r="D48" s="19">
        <f t="shared" ref="D48:E48" si="62">ifna(B48/B49-1,"")</f>
        <v>0.002414538061</v>
      </c>
      <c r="E48" s="19">
        <f t="shared" si="62"/>
        <v>0.05926587395</v>
      </c>
    </row>
    <row r="49">
      <c r="A49" s="18">
        <v>45761.0</v>
      </c>
      <c r="B49" s="1">
        <f>ifna(vlookup(A49,'Valve company'!A:F,6,0),"")</f>
        <v>78.69</v>
      </c>
      <c r="C49" s="1">
        <f>ifna(vlookup(A49,'Take-Two company'!A:F,6,0),"")</f>
        <v>212.77</v>
      </c>
      <c r="D49" s="19">
        <f t="shared" ref="D49:E49" si="63">ifna(B49/B50-1,"")</f>
        <v>0.01091983556</v>
      </c>
      <c r="E49" s="19">
        <f t="shared" si="63"/>
        <v>0.003300796907</v>
      </c>
    </row>
    <row r="50">
      <c r="A50" s="18">
        <v>45754.0</v>
      </c>
      <c r="B50" s="1">
        <f>ifna(vlookup(A50,'Valve company'!A:F,6,0),"")</f>
        <v>77.84</v>
      </c>
      <c r="C50" s="1">
        <f>ifna(vlookup(A50,'Take-Two company'!A:F,6,0),"")</f>
        <v>212.07</v>
      </c>
      <c r="D50" s="19">
        <f t="shared" ref="D50:E50" si="64">ifna(B50/B51-1,"")</f>
        <v>-0.08196721311</v>
      </c>
      <c r="E50" s="19">
        <f t="shared" si="64"/>
        <v>0.08988590811</v>
      </c>
    </row>
    <row r="51">
      <c r="A51" s="18">
        <v>45747.0</v>
      </c>
      <c r="B51" s="1">
        <f>ifna(vlookup(A51,'Valve company'!A:F,6,0),"")</f>
        <v>84.79</v>
      </c>
      <c r="C51" s="1">
        <f>ifna(vlookup(A51,'Take-Two company'!A:F,6,0),"")</f>
        <v>194.58</v>
      </c>
      <c r="D51" s="19">
        <f t="shared" ref="D51:E51" si="65">ifna(B51/B52-1,"")</f>
        <v>-0.007723815097</v>
      </c>
      <c r="E51" s="19">
        <f t="shared" si="65"/>
        <v>-0.07549769563</v>
      </c>
    </row>
    <row r="52">
      <c r="A52" s="18">
        <v>45740.0</v>
      </c>
      <c r="B52" s="1">
        <f>ifna(vlookup(A52,'Valve company'!A:F,6,0),"")</f>
        <v>85.45</v>
      </c>
      <c r="C52" s="1">
        <f>ifna(vlookup(A52,'Take-Two company'!A:F,6,0),"")</f>
        <v>210.47</v>
      </c>
      <c r="D52" s="19">
        <f t="shared" ref="D52:E52" si="66">ifna(B52/B53-1,"")</f>
        <v>-0.01509912402</v>
      </c>
      <c r="E52" s="19">
        <f t="shared" si="66"/>
        <v>-0.01405349698</v>
      </c>
    </row>
    <row r="53">
      <c r="A53" s="18">
        <v>45733.0</v>
      </c>
      <c r="B53" s="1">
        <f>ifna(vlookup(A53,'Valve company'!A:F,6,0),"")</f>
        <v>86.76</v>
      </c>
      <c r="C53" s="1">
        <f>ifna(vlookup(A53,'Take-Two company'!A:F,6,0),"")</f>
        <v>213.47</v>
      </c>
      <c r="D53" s="19">
        <f t="shared" ref="D53:E53" si="67">ifna(B53/B54-1,"")</f>
        <v>0.001038421599</v>
      </c>
      <c r="E53" s="19">
        <f t="shared" si="67"/>
        <v>0.0435058904</v>
      </c>
    </row>
    <row r="54">
      <c r="A54" s="18">
        <v>45726.0</v>
      </c>
      <c r="B54" s="1">
        <f>ifna(vlookup(A54,'Valve company'!A:F,6,0),"")</f>
        <v>86.67</v>
      </c>
      <c r="C54" s="1">
        <f>ifna(vlookup(A54,'Take-Two company'!A:F,6,0),"")</f>
        <v>204.57</v>
      </c>
      <c r="D54" s="19">
        <f t="shared" ref="D54:E54" si="68">ifna(B54/B55-1,"")</f>
        <v>-0.01174458381</v>
      </c>
      <c r="E54" s="19">
        <f t="shared" si="68"/>
        <v>0.001174570548</v>
      </c>
    </row>
    <row r="55">
      <c r="A55" s="18">
        <v>45719.0</v>
      </c>
      <c r="B55" s="1">
        <f>ifna(vlookup(A55,'Valve company'!A:F,6,0),"")</f>
        <v>87.7</v>
      </c>
      <c r="C55" s="1">
        <f>ifna(vlookup(A55,'Take-Two company'!A:F,6,0),"")</f>
        <v>204.33</v>
      </c>
      <c r="D55" s="19">
        <f t="shared" ref="D55:E55" si="69">ifna(B55/B56-1,"")</f>
        <v>-0.006457460066</v>
      </c>
      <c r="E55" s="19">
        <f t="shared" si="69"/>
        <v>-0.03608831022</v>
      </c>
    </row>
    <row r="56">
      <c r="A56" s="18">
        <v>45712.0</v>
      </c>
      <c r="B56" s="1">
        <f>ifna(vlookup(A56,'Valve company'!A:F,6,0),"")</f>
        <v>88.27</v>
      </c>
      <c r="C56" s="1">
        <f>ifna(vlookup(A56,'Take-Two company'!A:F,6,0),"")</f>
        <v>211.98</v>
      </c>
      <c r="D56" s="19"/>
      <c r="E56" s="19"/>
    </row>
    <row r="57">
      <c r="A57" s="5"/>
      <c r="D57" s="19"/>
    </row>
    <row r="58">
      <c r="A58" s="5"/>
      <c r="D58" s="19"/>
    </row>
    <row r="59">
      <c r="A59" s="5"/>
      <c r="D59" s="19"/>
    </row>
    <row r="60">
      <c r="A60" s="5"/>
      <c r="D60" s="19"/>
    </row>
    <row r="61">
      <c r="A61" s="5"/>
      <c r="D61" s="19"/>
    </row>
    <row r="62">
      <c r="A62" s="5"/>
      <c r="D62" s="19"/>
    </row>
    <row r="63">
      <c r="A63" s="5"/>
      <c r="D63" s="19"/>
    </row>
    <row r="64">
      <c r="A64" s="5"/>
      <c r="D64" s="19"/>
    </row>
    <row r="65">
      <c r="A65" s="5"/>
      <c r="D65" s="19"/>
    </row>
    <row r="66">
      <c r="A66" s="5"/>
      <c r="D66" s="19"/>
    </row>
    <row r="67">
      <c r="A67" s="5"/>
      <c r="D67" s="19"/>
    </row>
    <row r="68">
      <c r="A68" s="5"/>
      <c r="D68" s="19"/>
    </row>
    <row r="69">
      <c r="A69" s="5"/>
      <c r="D69" s="19"/>
    </row>
    <row r="70">
      <c r="A70" s="5"/>
      <c r="D70" s="19"/>
    </row>
    <row r="71">
      <c r="A71" s="5"/>
      <c r="D71" s="19"/>
    </row>
    <row r="72">
      <c r="A72" s="5"/>
      <c r="D72" s="19"/>
    </row>
    <row r="73">
      <c r="A73" s="5"/>
      <c r="D73" s="19"/>
    </row>
    <row r="74">
      <c r="A74" s="5"/>
      <c r="D74" s="19"/>
    </row>
    <row r="75">
      <c r="A75" s="5"/>
      <c r="D75" s="19"/>
    </row>
    <row r="76">
      <c r="A76" s="5"/>
      <c r="D76" s="19"/>
    </row>
    <row r="77">
      <c r="A77" s="5"/>
      <c r="D77" s="19"/>
    </row>
    <row r="78">
      <c r="A78" s="5"/>
      <c r="D78" s="19"/>
    </row>
    <row r="79">
      <c r="A79" s="5"/>
      <c r="D79" s="19"/>
    </row>
    <row r="80">
      <c r="A80" s="5"/>
      <c r="D80" s="19"/>
    </row>
    <row r="81">
      <c r="A81" s="5"/>
      <c r="D81" s="19"/>
    </row>
    <row r="82">
      <c r="A82" s="5"/>
      <c r="D82" s="19"/>
    </row>
    <row r="83">
      <c r="A83" s="5"/>
      <c r="D83" s="19"/>
    </row>
    <row r="84">
      <c r="A84" s="5"/>
      <c r="D84" s="19"/>
    </row>
    <row r="85">
      <c r="A85" s="5"/>
      <c r="D85" s="19"/>
    </row>
    <row r="86">
      <c r="A86" s="5"/>
      <c r="D86" s="19"/>
    </row>
    <row r="87">
      <c r="A87" s="5"/>
      <c r="D87" s="19"/>
    </row>
    <row r="88">
      <c r="A88" s="5"/>
      <c r="D88" s="19"/>
    </row>
    <row r="89">
      <c r="A89" s="5"/>
      <c r="D89" s="19"/>
    </row>
    <row r="90">
      <c r="A90" s="5"/>
      <c r="D90" s="19"/>
    </row>
    <row r="91">
      <c r="A91" s="5"/>
      <c r="D91" s="19"/>
    </row>
    <row r="92">
      <c r="A92" s="5"/>
      <c r="D92" s="19"/>
    </row>
    <row r="93">
      <c r="A93" s="5"/>
      <c r="D93" s="19"/>
    </row>
    <row r="94">
      <c r="A94" s="5"/>
      <c r="D94" s="19"/>
    </row>
    <row r="95">
      <c r="A95" s="5"/>
      <c r="D95" s="19"/>
    </row>
    <row r="96">
      <c r="A96" s="5"/>
      <c r="D96" s="19"/>
    </row>
    <row r="97">
      <c r="A97" s="5"/>
      <c r="D97" s="19"/>
    </row>
    <row r="98">
      <c r="A98" s="5"/>
      <c r="D98" s="19"/>
    </row>
    <row r="99">
      <c r="A99" s="5"/>
      <c r="D99" s="19"/>
    </row>
    <row r="100">
      <c r="A100" s="5"/>
      <c r="D100" s="19"/>
    </row>
    <row r="101">
      <c r="A101" s="5"/>
      <c r="D101" s="19"/>
    </row>
    <row r="102">
      <c r="A102" s="5"/>
      <c r="D102" s="19"/>
    </row>
    <row r="103">
      <c r="A103" s="5"/>
      <c r="D103" s="19"/>
    </row>
    <row r="104">
      <c r="A104" s="5"/>
      <c r="D104" s="19"/>
    </row>
    <row r="105">
      <c r="A105" s="5"/>
      <c r="D105" s="19"/>
    </row>
    <row r="106">
      <c r="A106" s="5"/>
      <c r="D106" s="19"/>
    </row>
    <row r="107">
      <c r="A107" s="5"/>
      <c r="D107" s="19"/>
    </row>
    <row r="108">
      <c r="A108" s="5"/>
      <c r="D108" s="19"/>
    </row>
    <row r="109">
      <c r="A109" s="5"/>
      <c r="D109" s="19"/>
    </row>
    <row r="110">
      <c r="A110" s="5"/>
      <c r="D110" s="19"/>
    </row>
    <row r="111">
      <c r="A111" s="5"/>
      <c r="D111" s="19"/>
    </row>
    <row r="112">
      <c r="A112" s="5"/>
      <c r="D112" s="19"/>
    </row>
    <row r="113">
      <c r="A113" s="5"/>
      <c r="D113" s="19"/>
    </row>
    <row r="114">
      <c r="A114" s="5"/>
      <c r="D114" s="19"/>
    </row>
    <row r="115">
      <c r="A115" s="5"/>
      <c r="D115" s="19"/>
    </row>
    <row r="116">
      <c r="A116" s="5"/>
      <c r="D116" s="19"/>
    </row>
    <row r="117">
      <c r="A117" s="5"/>
      <c r="D117" s="19"/>
    </row>
    <row r="118">
      <c r="A118" s="5"/>
      <c r="D118" s="19"/>
    </row>
    <row r="119">
      <c r="A119" s="5"/>
      <c r="D119" s="19"/>
    </row>
    <row r="120">
      <c r="A120" s="5"/>
      <c r="D120" s="19"/>
    </row>
    <row r="121">
      <c r="A121" s="5"/>
      <c r="D121" s="19"/>
    </row>
    <row r="122">
      <c r="A122" s="5"/>
      <c r="D122" s="19"/>
    </row>
    <row r="123">
      <c r="A123" s="5"/>
      <c r="D123" s="19"/>
    </row>
    <row r="124">
      <c r="A124" s="5"/>
      <c r="D124" s="19"/>
    </row>
    <row r="125">
      <c r="A125" s="5"/>
      <c r="D125" s="19"/>
    </row>
    <row r="126">
      <c r="A126" s="5"/>
      <c r="D126" s="19"/>
    </row>
    <row r="127">
      <c r="A127" s="5"/>
      <c r="D127" s="19"/>
    </row>
    <row r="128">
      <c r="A128" s="5"/>
      <c r="D128" s="19"/>
    </row>
    <row r="129">
      <c r="A129" s="5"/>
      <c r="D129" s="19"/>
    </row>
    <row r="130">
      <c r="A130" s="5"/>
      <c r="D130" s="19"/>
    </row>
    <row r="131">
      <c r="A131" s="5"/>
      <c r="D131" s="19"/>
    </row>
    <row r="132">
      <c r="A132" s="5"/>
      <c r="D132" s="19"/>
    </row>
    <row r="133">
      <c r="A133" s="5"/>
      <c r="D133" s="19"/>
    </row>
    <row r="134">
      <c r="A134" s="5"/>
      <c r="D134" s="19"/>
    </row>
    <row r="135">
      <c r="A135" s="5"/>
      <c r="D135" s="19"/>
    </row>
    <row r="136">
      <c r="A136" s="5"/>
      <c r="D136" s="19"/>
    </row>
    <row r="137">
      <c r="A137" s="5"/>
      <c r="D137" s="19"/>
    </row>
    <row r="138">
      <c r="A138" s="5"/>
      <c r="D138" s="19"/>
    </row>
    <row r="139">
      <c r="A139" s="5"/>
      <c r="D139" s="19"/>
    </row>
    <row r="140">
      <c r="A140" s="5"/>
      <c r="D140" s="19"/>
    </row>
    <row r="141">
      <c r="A141" s="5"/>
      <c r="D141" s="19"/>
    </row>
    <row r="142">
      <c r="A142" s="5"/>
      <c r="D142" s="19"/>
    </row>
    <row r="143">
      <c r="A143" s="5"/>
      <c r="D143" s="19"/>
    </row>
    <row r="144">
      <c r="A144" s="5"/>
      <c r="D144" s="19"/>
    </row>
    <row r="145">
      <c r="A145" s="5"/>
      <c r="D145" s="19"/>
    </row>
    <row r="146">
      <c r="A146" s="5"/>
      <c r="D146" s="19"/>
    </row>
    <row r="147">
      <c r="A147" s="5"/>
      <c r="D147" s="19"/>
    </row>
    <row r="148">
      <c r="A148" s="5"/>
      <c r="D148" s="19"/>
    </row>
    <row r="149">
      <c r="A149" s="5"/>
      <c r="D149" s="19"/>
    </row>
    <row r="150">
      <c r="A150" s="5"/>
      <c r="D150" s="19"/>
    </row>
    <row r="151">
      <c r="A151" s="5"/>
      <c r="D151" s="19"/>
    </row>
    <row r="152">
      <c r="A152" s="5"/>
      <c r="D152" s="19"/>
    </row>
    <row r="153">
      <c r="A153" s="5"/>
      <c r="D153" s="19"/>
    </row>
    <row r="154">
      <c r="A154" s="5"/>
      <c r="D154" s="19"/>
    </row>
    <row r="155">
      <c r="A155" s="5"/>
      <c r="D155" s="19"/>
    </row>
    <row r="156">
      <c r="A156" s="5"/>
      <c r="D156" s="19"/>
    </row>
    <row r="157">
      <c r="A157" s="5"/>
      <c r="D157" s="19"/>
    </row>
    <row r="158">
      <c r="A158" s="5"/>
      <c r="D158" s="19"/>
    </row>
    <row r="159">
      <c r="A159" s="5"/>
      <c r="D159" s="19"/>
    </row>
    <row r="160">
      <c r="A160" s="5"/>
      <c r="D160" s="19"/>
    </row>
    <row r="161">
      <c r="A161" s="5"/>
      <c r="D161" s="19"/>
    </row>
    <row r="162">
      <c r="A162" s="5"/>
      <c r="D162" s="19"/>
    </row>
    <row r="163">
      <c r="A163" s="5"/>
      <c r="D163" s="19"/>
    </row>
    <row r="164">
      <c r="A164" s="5"/>
      <c r="D164" s="19"/>
    </row>
    <row r="165">
      <c r="A165" s="5"/>
      <c r="D165" s="19"/>
    </row>
    <row r="166">
      <c r="A166" s="5"/>
      <c r="D166" s="19"/>
    </row>
    <row r="167">
      <c r="A167" s="5"/>
      <c r="D167" s="19"/>
    </row>
    <row r="168">
      <c r="A168" s="5"/>
      <c r="D168" s="19"/>
    </row>
    <row r="169">
      <c r="A169" s="5"/>
      <c r="D169" s="19"/>
    </row>
    <row r="170">
      <c r="A170" s="5"/>
      <c r="D170" s="19"/>
    </row>
    <row r="171">
      <c r="A171" s="5"/>
      <c r="D171" s="19"/>
    </row>
    <row r="172">
      <c r="A172" s="5"/>
      <c r="D172" s="19"/>
    </row>
    <row r="173">
      <c r="A173" s="5"/>
      <c r="D173" s="19"/>
    </row>
    <row r="174">
      <c r="A174" s="5"/>
      <c r="D174" s="19"/>
    </row>
    <row r="175">
      <c r="A175" s="5"/>
      <c r="D175" s="19"/>
    </row>
    <row r="176">
      <c r="A176" s="5"/>
      <c r="D176" s="19"/>
    </row>
    <row r="177">
      <c r="A177" s="5"/>
      <c r="D177" s="19"/>
    </row>
    <row r="178">
      <c r="A178" s="5"/>
      <c r="D178" s="19"/>
    </row>
    <row r="179">
      <c r="A179" s="5"/>
      <c r="D179" s="19"/>
    </row>
    <row r="180">
      <c r="A180" s="5"/>
      <c r="D180" s="19"/>
    </row>
    <row r="181">
      <c r="A181" s="5"/>
      <c r="D181" s="19"/>
    </row>
    <row r="182">
      <c r="A182" s="5"/>
      <c r="D182" s="19"/>
    </row>
    <row r="183">
      <c r="A183" s="5"/>
      <c r="D183" s="19"/>
    </row>
    <row r="184">
      <c r="A184" s="5"/>
      <c r="D184" s="19"/>
    </row>
    <row r="185">
      <c r="A185" s="5"/>
      <c r="D185" s="19"/>
    </row>
    <row r="186">
      <c r="A186" s="5"/>
      <c r="D186" s="19"/>
    </row>
    <row r="187">
      <c r="A187" s="5"/>
      <c r="D187" s="19"/>
    </row>
    <row r="188">
      <c r="A188" s="5"/>
      <c r="D188" s="19"/>
    </row>
    <row r="189">
      <c r="A189" s="5"/>
      <c r="D189" s="19"/>
    </row>
    <row r="190">
      <c r="A190" s="5"/>
      <c r="D190" s="19"/>
    </row>
    <row r="191">
      <c r="A191" s="5"/>
      <c r="D191" s="19"/>
    </row>
    <row r="192">
      <c r="A192" s="5"/>
      <c r="D192" s="19"/>
    </row>
    <row r="193">
      <c r="A193" s="5"/>
      <c r="D193" s="19"/>
    </row>
    <row r="194">
      <c r="A194" s="5"/>
      <c r="D194" s="19"/>
    </row>
    <row r="195">
      <c r="A195" s="5"/>
      <c r="D195" s="19"/>
    </row>
    <row r="196">
      <c r="A196" s="5"/>
      <c r="D196" s="19"/>
    </row>
    <row r="197">
      <c r="A197" s="5"/>
      <c r="D197" s="19"/>
    </row>
    <row r="198">
      <c r="A198" s="5"/>
      <c r="D198" s="19"/>
    </row>
    <row r="199">
      <c r="A199" s="5"/>
      <c r="D199" s="19"/>
    </row>
    <row r="200">
      <c r="A200" s="5"/>
      <c r="D200" s="19"/>
    </row>
    <row r="201">
      <c r="A201" s="5"/>
      <c r="D201" s="19"/>
    </row>
    <row r="202">
      <c r="A202" s="5"/>
      <c r="D202" s="19"/>
    </row>
    <row r="203">
      <c r="A203" s="5"/>
      <c r="D203" s="19"/>
    </row>
    <row r="204">
      <c r="A204" s="5"/>
      <c r="D204" s="19"/>
    </row>
    <row r="205">
      <c r="A205" s="5"/>
      <c r="D205" s="19"/>
    </row>
    <row r="206">
      <c r="A206" s="5"/>
      <c r="D206" s="19"/>
    </row>
    <row r="207">
      <c r="A207" s="5"/>
      <c r="D207" s="19"/>
    </row>
    <row r="208">
      <c r="D208" s="19"/>
    </row>
    <row r="209">
      <c r="D209" s="19"/>
    </row>
    <row r="210">
      <c r="D210" s="19"/>
    </row>
    <row r="211">
      <c r="D211" s="19"/>
    </row>
    <row r="212">
      <c r="D212" s="19"/>
    </row>
    <row r="213">
      <c r="D213" s="19"/>
    </row>
    <row r="214">
      <c r="D214" s="19"/>
    </row>
    <row r="215">
      <c r="D215" s="19"/>
    </row>
    <row r="216">
      <c r="D216" s="19"/>
    </row>
    <row r="217">
      <c r="D217" s="19"/>
    </row>
    <row r="218">
      <c r="D218" s="19"/>
    </row>
    <row r="219">
      <c r="D219" s="19"/>
    </row>
    <row r="220">
      <c r="D220" s="19"/>
    </row>
    <row r="221">
      <c r="D221" s="19"/>
    </row>
    <row r="222">
      <c r="D222" s="19"/>
    </row>
    <row r="223">
      <c r="D223" s="19"/>
    </row>
    <row r="224">
      <c r="D224" s="19"/>
    </row>
    <row r="225">
      <c r="D225" s="19"/>
    </row>
    <row r="226">
      <c r="D226" s="19"/>
    </row>
    <row r="227">
      <c r="D227" s="19"/>
    </row>
    <row r="228">
      <c r="D228" s="19"/>
    </row>
    <row r="229">
      <c r="D229" s="19"/>
    </row>
    <row r="230">
      <c r="D230" s="19"/>
    </row>
    <row r="231">
      <c r="D231" s="19"/>
    </row>
    <row r="232">
      <c r="D232" s="19"/>
    </row>
    <row r="233">
      <c r="D233" s="19"/>
    </row>
    <row r="234">
      <c r="D234" s="19"/>
    </row>
    <row r="235">
      <c r="D235" s="19"/>
    </row>
    <row r="236">
      <c r="D236" s="19"/>
    </row>
    <row r="237">
      <c r="D237" s="19"/>
    </row>
    <row r="238">
      <c r="D238" s="19"/>
    </row>
    <row r="239">
      <c r="D239" s="19"/>
    </row>
    <row r="240">
      <c r="D240" s="19"/>
    </row>
    <row r="241">
      <c r="D241" s="19"/>
    </row>
    <row r="242">
      <c r="D242" s="19"/>
    </row>
    <row r="243">
      <c r="D243" s="19"/>
    </row>
    <row r="244">
      <c r="D244" s="19"/>
    </row>
    <row r="245">
      <c r="D245" s="19"/>
    </row>
    <row r="246">
      <c r="D246" s="19"/>
    </row>
    <row r="247">
      <c r="D247" s="19"/>
    </row>
    <row r="248">
      <c r="D248" s="19"/>
    </row>
    <row r="249">
      <c r="D249" s="19"/>
    </row>
    <row r="250">
      <c r="D250" s="19"/>
    </row>
    <row r="251">
      <c r="D251" s="19"/>
    </row>
    <row r="252">
      <c r="D252" s="19"/>
    </row>
    <row r="253">
      <c r="D253" s="19"/>
    </row>
    <row r="254">
      <c r="D254" s="19"/>
    </row>
    <row r="255">
      <c r="D255" s="19"/>
    </row>
    <row r="256">
      <c r="D256" s="19"/>
    </row>
    <row r="257">
      <c r="D257" s="19"/>
    </row>
    <row r="258">
      <c r="D258" s="19"/>
    </row>
    <row r="259">
      <c r="D259" s="19"/>
    </row>
    <row r="260">
      <c r="D260" s="19"/>
    </row>
    <row r="261">
      <c r="D261" s="19"/>
    </row>
    <row r="262">
      <c r="D262" s="19"/>
    </row>
    <row r="263">
      <c r="D263" s="19"/>
    </row>
    <row r="264">
      <c r="D264" s="19"/>
    </row>
    <row r="265">
      <c r="D265" s="19"/>
    </row>
    <row r="266">
      <c r="D266" s="19"/>
    </row>
    <row r="267">
      <c r="D267" s="19"/>
    </row>
    <row r="268">
      <c r="D268" s="19"/>
    </row>
    <row r="269">
      <c r="D269" s="19"/>
    </row>
    <row r="270">
      <c r="D270" s="19"/>
    </row>
    <row r="271">
      <c r="D271" s="19"/>
    </row>
    <row r="272">
      <c r="D272" s="19"/>
    </row>
    <row r="273">
      <c r="D273" s="19"/>
    </row>
    <row r="274">
      <c r="D274" s="19"/>
    </row>
    <row r="275">
      <c r="D275" s="19"/>
    </row>
    <row r="276">
      <c r="D276" s="19"/>
    </row>
    <row r="277">
      <c r="D277" s="19"/>
    </row>
    <row r="278">
      <c r="D278" s="19"/>
    </row>
    <row r="279">
      <c r="D279" s="19"/>
    </row>
    <row r="280">
      <c r="D280" s="19"/>
    </row>
    <row r="281">
      <c r="D281" s="19"/>
    </row>
    <row r="282">
      <c r="D282" s="19"/>
    </row>
    <row r="283">
      <c r="D283" s="19"/>
    </row>
    <row r="284">
      <c r="D284" s="19"/>
    </row>
    <row r="285">
      <c r="D285" s="19"/>
    </row>
    <row r="286">
      <c r="D286" s="19"/>
    </row>
    <row r="287">
      <c r="D287" s="19"/>
    </row>
    <row r="288">
      <c r="D288" s="19"/>
    </row>
    <row r="289">
      <c r="D289" s="19"/>
    </row>
    <row r="290">
      <c r="D290" s="19"/>
    </row>
    <row r="291">
      <c r="D291" s="19"/>
    </row>
    <row r="292">
      <c r="D292" s="19"/>
    </row>
    <row r="293">
      <c r="D293" s="19"/>
    </row>
    <row r="294">
      <c r="D294" s="19"/>
    </row>
    <row r="295">
      <c r="D295" s="19"/>
    </row>
    <row r="296">
      <c r="D296" s="19"/>
    </row>
    <row r="297">
      <c r="D297" s="19"/>
    </row>
    <row r="298">
      <c r="D298" s="19"/>
    </row>
    <row r="299">
      <c r="D299" s="19"/>
    </row>
    <row r="300">
      <c r="D300" s="19"/>
    </row>
    <row r="301">
      <c r="D301" s="19"/>
    </row>
    <row r="302">
      <c r="D302" s="19"/>
    </row>
    <row r="303">
      <c r="D303" s="19"/>
    </row>
    <row r="304">
      <c r="D304" s="19"/>
    </row>
    <row r="305">
      <c r="D305" s="19"/>
    </row>
    <row r="306">
      <c r="D306" s="19"/>
    </row>
    <row r="307">
      <c r="D307" s="19"/>
    </row>
    <row r="308">
      <c r="D308" s="19"/>
    </row>
    <row r="309">
      <c r="D309" s="19"/>
    </row>
    <row r="310">
      <c r="D310" s="19"/>
    </row>
    <row r="311">
      <c r="D311" s="19"/>
    </row>
    <row r="312">
      <c r="D312" s="19"/>
    </row>
    <row r="313">
      <c r="D313" s="19"/>
    </row>
    <row r="314">
      <c r="D314" s="19"/>
    </row>
    <row r="315">
      <c r="D315" s="19"/>
    </row>
    <row r="316">
      <c r="D316" s="19"/>
    </row>
    <row r="317">
      <c r="D317" s="19"/>
    </row>
    <row r="318">
      <c r="D318" s="19"/>
    </row>
    <row r="319">
      <c r="D319" s="19"/>
    </row>
    <row r="320">
      <c r="D320" s="19"/>
    </row>
    <row r="321">
      <c r="D321" s="19"/>
    </row>
    <row r="322">
      <c r="D322" s="19"/>
    </row>
    <row r="323">
      <c r="D323" s="19"/>
    </row>
    <row r="324">
      <c r="D324" s="19"/>
    </row>
    <row r="325">
      <c r="D325" s="19"/>
    </row>
    <row r="326">
      <c r="D326" s="19"/>
    </row>
    <row r="327">
      <c r="D327" s="19"/>
    </row>
    <row r="328">
      <c r="D328" s="19"/>
    </row>
    <row r="329">
      <c r="D329" s="19"/>
    </row>
    <row r="330">
      <c r="D330" s="19"/>
    </row>
    <row r="331">
      <c r="D331" s="19"/>
    </row>
    <row r="332">
      <c r="D332" s="19"/>
    </row>
    <row r="333">
      <c r="D333" s="19"/>
    </row>
    <row r="334">
      <c r="D334" s="19"/>
    </row>
    <row r="335">
      <c r="D335" s="19"/>
    </row>
    <row r="336">
      <c r="D336" s="19"/>
    </row>
    <row r="337">
      <c r="D337" s="19"/>
    </row>
    <row r="338">
      <c r="D338" s="19"/>
    </row>
    <row r="339">
      <c r="D339" s="19"/>
    </row>
    <row r="340">
      <c r="D340" s="19"/>
    </row>
    <row r="341">
      <c r="D341" s="19"/>
    </row>
    <row r="342">
      <c r="D342" s="19"/>
    </row>
    <row r="343">
      <c r="D343" s="19"/>
    </row>
    <row r="344">
      <c r="D344" s="19"/>
    </row>
    <row r="345">
      <c r="D345" s="19"/>
    </row>
    <row r="346">
      <c r="D346" s="19"/>
    </row>
    <row r="347">
      <c r="D347" s="19"/>
    </row>
    <row r="348">
      <c r="D348" s="19"/>
    </row>
    <row r="349">
      <c r="D349" s="19"/>
    </row>
    <row r="350">
      <c r="D350" s="19"/>
    </row>
    <row r="351">
      <c r="D351" s="19"/>
    </row>
    <row r="352">
      <c r="D352" s="19"/>
    </row>
    <row r="353">
      <c r="D353" s="19"/>
    </row>
    <row r="354">
      <c r="D354" s="19"/>
    </row>
    <row r="355">
      <c r="D355" s="19"/>
    </row>
    <row r="356">
      <c r="D356" s="19"/>
    </row>
    <row r="357">
      <c r="D357" s="19"/>
    </row>
    <row r="358">
      <c r="D358" s="19"/>
    </row>
    <row r="359">
      <c r="D359" s="19"/>
    </row>
    <row r="360">
      <c r="D360" s="19"/>
    </row>
    <row r="361">
      <c r="D361" s="19"/>
    </row>
    <row r="362">
      <c r="D362" s="19"/>
    </row>
    <row r="363">
      <c r="D363" s="19"/>
    </row>
    <row r="364">
      <c r="D364" s="19"/>
    </row>
    <row r="365">
      <c r="D365" s="19"/>
    </row>
    <row r="366">
      <c r="D366" s="19"/>
    </row>
    <row r="367">
      <c r="D367" s="19"/>
    </row>
    <row r="368">
      <c r="D368" s="19"/>
    </row>
    <row r="369">
      <c r="D369" s="19"/>
    </row>
    <row r="370">
      <c r="D370" s="19"/>
    </row>
    <row r="371">
      <c r="D371" s="19"/>
    </row>
    <row r="372">
      <c r="D372" s="19"/>
    </row>
    <row r="373">
      <c r="D373" s="19"/>
    </row>
    <row r="374">
      <c r="D374" s="19"/>
    </row>
    <row r="375">
      <c r="D375" s="19"/>
    </row>
    <row r="376">
      <c r="D376" s="19"/>
    </row>
    <row r="377">
      <c r="D377" s="19"/>
    </row>
    <row r="378">
      <c r="D378" s="19"/>
    </row>
    <row r="379">
      <c r="D379" s="19"/>
    </row>
    <row r="380">
      <c r="D380" s="19"/>
    </row>
    <row r="381">
      <c r="D381" s="19"/>
    </row>
    <row r="382">
      <c r="D382" s="19"/>
    </row>
    <row r="383">
      <c r="D383" s="19"/>
    </row>
    <row r="384">
      <c r="D384" s="19"/>
    </row>
    <row r="385">
      <c r="D385" s="19"/>
    </row>
    <row r="386">
      <c r="D386" s="19"/>
    </row>
    <row r="387">
      <c r="D387" s="19"/>
    </row>
    <row r="388">
      <c r="D388" s="19"/>
    </row>
    <row r="389">
      <c r="D389" s="19"/>
    </row>
    <row r="390">
      <c r="D390" s="19"/>
    </row>
    <row r="391">
      <c r="D391" s="19"/>
    </row>
    <row r="392">
      <c r="D392" s="19"/>
    </row>
    <row r="393">
      <c r="D393" s="19"/>
    </row>
    <row r="394">
      <c r="D394" s="19"/>
    </row>
    <row r="395">
      <c r="D395" s="19"/>
    </row>
    <row r="396">
      <c r="D396" s="19"/>
    </row>
    <row r="397">
      <c r="D397" s="19"/>
    </row>
    <row r="398">
      <c r="D398" s="19"/>
    </row>
    <row r="399">
      <c r="D399" s="19"/>
    </row>
    <row r="400">
      <c r="D400" s="19"/>
    </row>
    <row r="401">
      <c r="D401" s="19"/>
    </row>
    <row r="402">
      <c r="D402" s="19"/>
    </row>
    <row r="403">
      <c r="D403" s="19"/>
    </row>
    <row r="404">
      <c r="D404" s="19"/>
    </row>
    <row r="405">
      <c r="D405" s="19"/>
    </row>
    <row r="406">
      <c r="D406" s="19"/>
    </row>
    <row r="407">
      <c r="D407" s="19"/>
    </row>
    <row r="408">
      <c r="D408" s="19"/>
    </row>
    <row r="409">
      <c r="D409" s="19"/>
    </row>
    <row r="410">
      <c r="D410" s="19"/>
    </row>
    <row r="411">
      <c r="D411" s="19"/>
    </row>
    <row r="412">
      <c r="D412" s="19"/>
    </row>
    <row r="413">
      <c r="D413" s="19"/>
    </row>
    <row r="414">
      <c r="D414" s="19"/>
    </row>
    <row r="415">
      <c r="D415" s="19"/>
    </row>
    <row r="416">
      <c r="D416" s="19"/>
    </row>
    <row r="417">
      <c r="D417" s="19"/>
    </row>
    <row r="418">
      <c r="D418" s="19"/>
    </row>
    <row r="419">
      <c r="D419" s="19"/>
    </row>
    <row r="420">
      <c r="D420" s="19"/>
    </row>
    <row r="421">
      <c r="D421" s="19"/>
    </row>
    <row r="422">
      <c r="D422" s="19"/>
    </row>
    <row r="423">
      <c r="D423" s="19"/>
    </row>
    <row r="424">
      <c r="D424" s="19"/>
    </row>
    <row r="425">
      <c r="D425" s="19"/>
    </row>
    <row r="426">
      <c r="D426" s="19"/>
    </row>
    <row r="427">
      <c r="D427" s="19"/>
    </row>
    <row r="428">
      <c r="D428" s="19"/>
    </row>
    <row r="429">
      <c r="D429" s="19"/>
    </row>
    <row r="430">
      <c r="D430" s="19"/>
    </row>
    <row r="431">
      <c r="D431" s="19"/>
    </row>
    <row r="432">
      <c r="D432" s="19"/>
    </row>
    <row r="433">
      <c r="D433" s="19"/>
    </row>
    <row r="434">
      <c r="D434" s="19"/>
    </row>
    <row r="435">
      <c r="D435" s="19"/>
    </row>
    <row r="436">
      <c r="D436" s="19"/>
    </row>
    <row r="437">
      <c r="D437" s="19"/>
    </row>
    <row r="438">
      <c r="D438" s="19"/>
    </row>
    <row r="439">
      <c r="D439" s="19"/>
    </row>
    <row r="440">
      <c r="D440" s="19"/>
    </row>
    <row r="441">
      <c r="D441" s="19"/>
    </row>
    <row r="442">
      <c r="D442" s="19"/>
    </row>
    <row r="443">
      <c r="D443" s="19"/>
    </row>
    <row r="444">
      <c r="D444" s="19"/>
    </row>
    <row r="445">
      <c r="D445" s="19"/>
    </row>
    <row r="446">
      <c r="D446" s="19"/>
    </row>
    <row r="447">
      <c r="D447" s="19"/>
    </row>
    <row r="448">
      <c r="D448" s="19"/>
    </row>
    <row r="449">
      <c r="D449" s="19"/>
    </row>
    <row r="450">
      <c r="D450" s="19"/>
    </row>
    <row r="451">
      <c r="D451" s="19"/>
    </row>
    <row r="452">
      <c r="D452" s="19"/>
    </row>
    <row r="453">
      <c r="D453" s="19"/>
    </row>
    <row r="454">
      <c r="D454" s="19"/>
    </row>
    <row r="455">
      <c r="D455" s="19"/>
    </row>
    <row r="456">
      <c r="D456" s="19"/>
    </row>
    <row r="457">
      <c r="D457" s="19"/>
    </row>
    <row r="458">
      <c r="D458" s="19"/>
    </row>
    <row r="459">
      <c r="D459" s="19"/>
    </row>
    <row r="460">
      <c r="D460" s="19"/>
    </row>
    <row r="461">
      <c r="D461" s="19"/>
    </row>
    <row r="462">
      <c r="D462" s="19"/>
    </row>
    <row r="463">
      <c r="D463" s="19"/>
    </row>
    <row r="464">
      <c r="D464" s="19"/>
    </row>
    <row r="465">
      <c r="D465" s="19"/>
    </row>
    <row r="466">
      <c r="D466" s="19"/>
    </row>
    <row r="467">
      <c r="D467" s="19"/>
    </row>
    <row r="468">
      <c r="D468" s="19"/>
    </row>
    <row r="469">
      <c r="D469" s="19"/>
    </row>
    <row r="470">
      <c r="D470" s="19"/>
    </row>
    <row r="471">
      <c r="D471" s="19"/>
    </row>
    <row r="472">
      <c r="D472" s="19"/>
    </row>
    <row r="473">
      <c r="D473" s="19"/>
    </row>
    <row r="474">
      <c r="D474" s="19"/>
    </row>
    <row r="475">
      <c r="D475" s="19"/>
    </row>
    <row r="476">
      <c r="D476" s="19"/>
    </row>
    <row r="477">
      <c r="D477" s="19"/>
    </row>
    <row r="478">
      <c r="D478" s="19"/>
    </row>
    <row r="479">
      <c r="D479" s="19"/>
    </row>
    <row r="480">
      <c r="D480" s="19"/>
    </row>
    <row r="481">
      <c r="D481" s="19"/>
    </row>
    <row r="482">
      <c r="D482" s="19"/>
    </row>
    <row r="483">
      <c r="D483" s="19"/>
    </row>
    <row r="484">
      <c r="D484" s="19"/>
    </row>
    <row r="485">
      <c r="D485" s="19"/>
    </row>
    <row r="486">
      <c r="D486" s="19"/>
    </row>
    <row r="487">
      <c r="D487" s="19"/>
    </row>
    <row r="488">
      <c r="D488" s="19"/>
    </row>
    <row r="489">
      <c r="D489" s="19"/>
    </row>
    <row r="490">
      <c r="D490" s="19"/>
    </row>
    <row r="491">
      <c r="D491" s="19"/>
    </row>
    <row r="492">
      <c r="D492" s="19"/>
    </row>
    <row r="493">
      <c r="D493" s="19"/>
    </row>
    <row r="494">
      <c r="D494" s="19"/>
    </row>
    <row r="495">
      <c r="D495" s="19"/>
    </row>
    <row r="496">
      <c r="D496" s="19"/>
    </row>
    <row r="497">
      <c r="D497" s="19"/>
    </row>
    <row r="498">
      <c r="D498" s="19"/>
    </row>
    <row r="499">
      <c r="D499" s="19"/>
    </row>
    <row r="500">
      <c r="D500" s="19"/>
    </row>
    <row r="501">
      <c r="D501" s="19"/>
    </row>
    <row r="502">
      <c r="D502" s="19"/>
    </row>
    <row r="503">
      <c r="D503" s="19"/>
    </row>
    <row r="504">
      <c r="D504" s="19"/>
    </row>
    <row r="505">
      <c r="D505" s="19"/>
    </row>
    <row r="506">
      <c r="D506" s="19"/>
    </row>
    <row r="507">
      <c r="D507" s="19"/>
    </row>
    <row r="508">
      <c r="D508" s="19"/>
    </row>
    <row r="509">
      <c r="D509" s="19"/>
    </row>
    <row r="510">
      <c r="D510" s="19"/>
    </row>
    <row r="511">
      <c r="D511" s="19"/>
    </row>
    <row r="512">
      <c r="D512" s="19"/>
    </row>
    <row r="513">
      <c r="D513" s="19"/>
    </row>
    <row r="514">
      <c r="D514" s="19"/>
    </row>
    <row r="515">
      <c r="D515" s="19"/>
    </row>
    <row r="516">
      <c r="D516" s="19"/>
    </row>
    <row r="517">
      <c r="D517" s="19"/>
    </row>
    <row r="518">
      <c r="D518" s="19"/>
    </row>
    <row r="519">
      <c r="D519" s="19"/>
    </row>
    <row r="520">
      <c r="D520" s="19"/>
    </row>
    <row r="521">
      <c r="D521" s="19"/>
    </row>
    <row r="522">
      <c r="D522" s="19"/>
    </row>
    <row r="523">
      <c r="D523" s="19"/>
    </row>
    <row r="524">
      <c r="D524" s="19"/>
    </row>
    <row r="525">
      <c r="D525" s="19"/>
    </row>
    <row r="526">
      <c r="D526" s="19"/>
    </row>
    <row r="527">
      <c r="D527" s="19"/>
    </row>
    <row r="528">
      <c r="D528" s="19"/>
    </row>
    <row r="529">
      <c r="D529" s="19"/>
    </row>
    <row r="530">
      <c r="D530" s="19"/>
    </row>
    <row r="531">
      <c r="D531" s="19"/>
    </row>
    <row r="532">
      <c r="D532" s="19"/>
    </row>
    <row r="533">
      <c r="D533" s="19"/>
    </row>
    <row r="534">
      <c r="D534" s="19"/>
    </row>
    <row r="535">
      <c r="D535" s="19"/>
    </row>
    <row r="536">
      <c r="D536" s="19"/>
    </row>
    <row r="537">
      <c r="D537" s="19"/>
    </row>
    <row r="538">
      <c r="D538" s="19"/>
    </row>
    <row r="539">
      <c r="D539" s="19"/>
    </row>
    <row r="540">
      <c r="D540" s="19"/>
    </row>
    <row r="541">
      <c r="D541" s="19"/>
    </row>
    <row r="542">
      <c r="D542" s="19"/>
    </row>
    <row r="543">
      <c r="D543" s="19"/>
    </row>
    <row r="544">
      <c r="D544" s="19"/>
    </row>
    <row r="545">
      <c r="D545" s="19"/>
    </row>
    <row r="546">
      <c r="D546" s="19"/>
    </row>
    <row r="547">
      <c r="D547" s="19"/>
    </row>
    <row r="548">
      <c r="D548" s="19"/>
    </row>
    <row r="549">
      <c r="D549" s="19"/>
    </row>
    <row r="550">
      <c r="D550" s="19"/>
    </row>
    <row r="551">
      <c r="D551" s="19"/>
    </row>
    <row r="552">
      <c r="D552" s="19"/>
    </row>
    <row r="553">
      <c r="D553" s="19"/>
    </row>
    <row r="554">
      <c r="D554" s="19"/>
    </row>
    <row r="555">
      <c r="D555" s="19"/>
    </row>
    <row r="556">
      <c r="D556" s="19"/>
    </row>
    <row r="557">
      <c r="D557" s="19"/>
    </row>
    <row r="558">
      <c r="D558" s="19"/>
    </row>
    <row r="559">
      <c r="D559" s="19"/>
    </row>
    <row r="560">
      <c r="D560" s="19"/>
    </row>
    <row r="561">
      <c r="D561" s="19"/>
    </row>
    <row r="562">
      <c r="D562" s="19"/>
    </row>
    <row r="563">
      <c r="D563" s="19"/>
    </row>
    <row r="564">
      <c r="D564" s="19"/>
    </row>
    <row r="565">
      <c r="D565" s="19"/>
    </row>
    <row r="566">
      <c r="D566" s="19"/>
    </row>
    <row r="567">
      <c r="D567" s="19"/>
    </row>
    <row r="568">
      <c r="D568" s="19"/>
    </row>
    <row r="569">
      <c r="D569" s="19"/>
    </row>
    <row r="570">
      <c r="D570" s="19"/>
    </row>
    <row r="571">
      <c r="D571" s="19"/>
    </row>
    <row r="572">
      <c r="D572" s="19"/>
    </row>
    <row r="573">
      <c r="D573" s="19"/>
    </row>
    <row r="574">
      <c r="D574" s="19"/>
    </row>
    <row r="575">
      <c r="D575" s="19"/>
    </row>
    <row r="576">
      <c r="D576" s="19"/>
    </row>
    <row r="577">
      <c r="D577" s="19"/>
    </row>
    <row r="578">
      <c r="D578" s="19"/>
    </row>
    <row r="579">
      <c r="D579" s="19"/>
    </row>
    <row r="580">
      <c r="D580" s="19"/>
    </row>
    <row r="581">
      <c r="D581" s="19"/>
    </row>
    <row r="582">
      <c r="D582" s="19"/>
    </row>
    <row r="583">
      <c r="D583" s="19"/>
    </row>
    <row r="584">
      <c r="D584" s="19"/>
    </row>
    <row r="585">
      <c r="D585" s="19"/>
    </row>
    <row r="586">
      <c r="D586" s="19"/>
    </row>
    <row r="587">
      <c r="D587" s="19"/>
    </row>
    <row r="588">
      <c r="D588" s="19"/>
    </row>
    <row r="589">
      <c r="D589" s="19"/>
    </row>
    <row r="590">
      <c r="D590" s="19"/>
    </row>
    <row r="591">
      <c r="D591" s="19"/>
    </row>
    <row r="592">
      <c r="D592" s="19"/>
    </row>
    <row r="593">
      <c r="D593" s="19"/>
    </row>
    <row r="594">
      <c r="D594" s="19"/>
    </row>
    <row r="595">
      <c r="D595" s="19"/>
    </row>
    <row r="596">
      <c r="D596" s="19"/>
    </row>
    <row r="597">
      <c r="D597" s="19"/>
    </row>
    <row r="598">
      <c r="D598" s="19"/>
    </row>
    <row r="599">
      <c r="D599" s="19"/>
    </row>
    <row r="600">
      <c r="D600" s="19"/>
    </row>
    <row r="601">
      <c r="D601" s="19"/>
    </row>
    <row r="602">
      <c r="D602" s="19"/>
    </row>
    <row r="603">
      <c r="D603" s="19"/>
    </row>
    <row r="604">
      <c r="D604" s="19"/>
    </row>
    <row r="605">
      <c r="D605" s="19"/>
    </row>
    <row r="606">
      <c r="D606" s="19"/>
    </row>
    <row r="607">
      <c r="D607" s="19"/>
    </row>
    <row r="608">
      <c r="D608" s="19"/>
    </row>
    <row r="609">
      <c r="D609" s="19"/>
    </row>
    <row r="610">
      <c r="D610" s="19"/>
    </row>
    <row r="611">
      <c r="D611" s="19"/>
    </row>
    <row r="612">
      <c r="D612" s="19"/>
    </row>
    <row r="613">
      <c r="D613" s="19"/>
    </row>
    <row r="614">
      <c r="D614" s="19"/>
    </row>
    <row r="615">
      <c r="D615" s="19"/>
    </row>
    <row r="616">
      <c r="D616" s="19"/>
    </row>
    <row r="617">
      <c r="D617" s="19"/>
    </row>
    <row r="618">
      <c r="D618" s="19"/>
    </row>
    <row r="619">
      <c r="D619" s="19"/>
    </row>
    <row r="620">
      <c r="D620" s="19"/>
    </row>
    <row r="621">
      <c r="D621" s="19"/>
    </row>
    <row r="622">
      <c r="D622" s="19"/>
    </row>
    <row r="623">
      <c r="D623" s="19"/>
    </row>
    <row r="624">
      <c r="D624" s="19"/>
    </row>
    <row r="625">
      <c r="D625" s="19"/>
    </row>
    <row r="626">
      <c r="D626" s="19"/>
    </row>
    <row r="627">
      <c r="D627" s="19"/>
    </row>
    <row r="628">
      <c r="D628" s="19"/>
    </row>
    <row r="629">
      <c r="D629" s="19"/>
    </row>
    <row r="630">
      <c r="D630" s="19"/>
    </row>
    <row r="631">
      <c r="D631" s="19"/>
    </row>
    <row r="632">
      <c r="D632" s="19"/>
    </row>
    <row r="633">
      <c r="D633" s="19"/>
    </row>
    <row r="634">
      <c r="D634" s="19"/>
    </row>
    <row r="635">
      <c r="D635" s="19"/>
    </row>
    <row r="636">
      <c r="D636" s="19"/>
    </row>
    <row r="637">
      <c r="D637" s="19"/>
    </row>
    <row r="638">
      <c r="D638" s="19"/>
    </row>
    <row r="639">
      <c r="D639" s="19"/>
    </row>
    <row r="640">
      <c r="D640" s="19"/>
    </row>
    <row r="641">
      <c r="D641" s="19"/>
    </row>
    <row r="642">
      <c r="D642" s="19"/>
    </row>
    <row r="643">
      <c r="D643" s="19"/>
    </row>
    <row r="644">
      <c r="D644" s="19"/>
    </row>
    <row r="645">
      <c r="D645" s="19"/>
    </row>
    <row r="646">
      <c r="D646" s="19"/>
    </row>
    <row r="647">
      <c r="D647" s="19"/>
    </row>
    <row r="648">
      <c r="D648" s="19"/>
    </row>
    <row r="649">
      <c r="D649" s="19"/>
    </row>
    <row r="650">
      <c r="D650" s="19"/>
    </row>
    <row r="651">
      <c r="D651" s="19"/>
    </row>
    <row r="652">
      <c r="D652" s="19"/>
    </row>
    <row r="653">
      <c r="D653" s="19"/>
    </row>
    <row r="654">
      <c r="D654" s="19"/>
    </row>
    <row r="655">
      <c r="D655" s="19"/>
    </row>
    <row r="656">
      <c r="D656" s="19"/>
    </row>
    <row r="657">
      <c r="D657" s="19"/>
    </row>
    <row r="658">
      <c r="D658" s="19"/>
    </row>
    <row r="659">
      <c r="D659" s="19"/>
    </row>
    <row r="660">
      <c r="D660" s="19"/>
    </row>
    <row r="661">
      <c r="D661" s="19"/>
    </row>
    <row r="662">
      <c r="D662" s="19"/>
    </row>
    <row r="663">
      <c r="D663" s="19"/>
    </row>
    <row r="664">
      <c r="D664" s="19"/>
    </row>
    <row r="665">
      <c r="D665" s="19"/>
    </row>
    <row r="666">
      <c r="D666" s="19"/>
    </row>
    <row r="667">
      <c r="D667" s="19"/>
    </row>
    <row r="668">
      <c r="D668" s="19"/>
    </row>
    <row r="669">
      <c r="D669" s="19"/>
    </row>
    <row r="670">
      <c r="D670" s="19"/>
    </row>
    <row r="671">
      <c r="D671" s="19"/>
    </row>
    <row r="672">
      <c r="D672" s="19"/>
    </row>
    <row r="673">
      <c r="D673" s="19"/>
    </row>
    <row r="674">
      <c r="D674" s="19"/>
    </row>
    <row r="675">
      <c r="D675" s="19"/>
    </row>
    <row r="676">
      <c r="D676" s="19"/>
    </row>
    <row r="677">
      <c r="D677" s="19"/>
    </row>
    <row r="678">
      <c r="D678" s="19"/>
    </row>
    <row r="679">
      <c r="D679" s="19"/>
    </row>
    <row r="680">
      <c r="D680" s="19"/>
    </row>
    <row r="681">
      <c r="D681" s="19"/>
    </row>
    <row r="682">
      <c r="D682" s="19"/>
    </row>
    <row r="683">
      <c r="D683" s="19"/>
    </row>
    <row r="684">
      <c r="D684" s="19"/>
    </row>
    <row r="685">
      <c r="D685" s="19"/>
    </row>
    <row r="686">
      <c r="D686" s="19"/>
    </row>
    <row r="687">
      <c r="D687" s="19"/>
    </row>
    <row r="688">
      <c r="D688" s="19"/>
    </row>
    <row r="689">
      <c r="D689" s="19"/>
    </row>
    <row r="690">
      <c r="D690" s="19"/>
    </row>
    <row r="691">
      <c r="D691" s="19"/>
    </row>
    <row r="692">
      <c r="D692" s="19"/>
    </row>
    <row r="693">
      <c r="D693" s="19"/>
    </row>
    <row r="694">
      <c r="D694" s="19"/>
    </row>
    <row r="695">
      <c r="D695" s="19"/>
    </row>
    <row r="696">
      <c r="D696" s="19"/>
    </row>
    <row r="697">
      <c r="D697" s="19"/>
    </row>
    <row r="698">
      <c r="D698" s="19"/>
    </row>
    <row r="699">
      <c r="D699" s="19"/>
    </row>
    <row r="700">
      <c r="D700" s="19"/>
    </row>
    <row r="701">
      <c r="D701" s="19"/>
    </row>
    <row r="702">
      <c r="D702" s="19"/>
    </row>
    <row r="703">
      <c r="D703" s="19"/>
    </row>
    <row r="704">
      <c r="D704" s="19"/>
    </row>
    <row r="705">
      <c r="D705" s="19"/>
    </row>
    <row r="706">
      <c r="D706" s="19"/>
    </row>
    <row r="707">
      <c r="D707" s="19"/>
    </row>
    <row r="708">
      <c r="D708" s="19"/>
    </row>
    <row r="709">
      <c r="D709" s="19"/>
    </row>
    <row r="710">
      <c r="D710" s="19"/>
    </row>
    <row r="711">
      <c r="D711" s="19"/>
    </row>
    <row r="712">
      <c r="D712" s="19"/>
    </row>
    <row r="713">
      <c r="D713" s="19"/>
    </row>
    <row r="714">
      <c r="D714" s="19"/>
    </row>
    <row r="715">
      <c r="D715" s="19"/>
    </row>
    <row r="716">
      <c r="D716" s="19"/>
    </row>
    <row r="717">
      <c r="D717" s="19"/>
    </row>
    <row r="718">
      <c r="D718" s="19"/>
    </row>
    <row r="719">
      <c r="D719" s="19"/>
    </row>
    <row r="720">
      <c r="D720" s="19"/>
    </row>
    <row r="721">
      <c r="D721" s="19"/>
    </row>
    <row r="722">
      <c r="D722" s="19"/>
    </row>
    <row r="723">
      <c r="D723" s="19"/>
    </row>
    <row r="724">
      <c r="D724" s="19"/>
    </row>
    <row r="725">
      <c r="D725" s="19"/>
    </row>
    <row r="726">
      <c r="D726" s="19"/>
    </row>
    <row r="727">
      <c r="D727" s="19"/>
    </row>
    <row r="728">
      <c r="D728" s="19"/>
    </row>
    <row r="729">
      <c r="D729" s="19"/>
    </row>
    <row r="730">
      <c r="D730" s="19"/>
    </row>
    <row r="731">
      <c r="D731" s="19"/>
    </row>
    <row r="732">
      <c r="D732" s="19"/>
    </row>
    <row r="733">
      <c r="D733" s="19"/>
    </row>
    <row r="734">
      <c r="D734" s="19"/>
    </row>
    <row r="735">
      <c r="D735" s="19"/>
    </row>
    <row r="736">
      <c r="D736" s="19"/>
    </row>
    <row r="737">
      <c r="D737" s="19"/>
    </row>
    <row r="738">
      <c r="D738" s="19"/>
    </row>
    <row r="739">
      <c r="D739" s="19"/>
    </row>
    <row r="740">
      <c r="D740" s="19"/>
    </row>
    <row r="741">
      <c r="D741" s="19"/>
    </row>
    <row r="742">
      <c r="D742" s="19"/>
    </row>
    <row r="743">
      <c r="D743" s="19"/>
    </row>
    <row r="744">
      <c r="D744" s="19"/>
    </row>
    <row r="745">
      <c r="D745" s="19"/>
    </row>
    <row r="746">
      <c r="D746" s="19"/>
    </row>
    <row r="747">
      <c r="D747" s="19"/>
    </row>
    <row r="748">
      <c r="D748" s="19"/>
    </row>
    <row r="749">
      <c r="D749" s="19"/>
    </row>
    <row r="750">
      <c r="D750" s="19"/>
    </row>
    <row r="751">
      <c r="D751" s="19"/>
    </row>
    <row r="752">
      <c r="D752" s="19"/>
    </row>
    <row r="753">
      <c r="D753" s="19"/>
    </row>
    <row r="754">
      <c r="D754" s="19"/>
    </row>
    <row r="755">
      <c r="D755" s="19"/>
    </row>
    <row r="756">
      <c r="D756" s="19"/>
    </row>
    <row r="757">
      <c r="D757" s="19"/>
    </row>
    <row r="758">
      <c r="D758" s="19"/>
    </row>
    <row r="759">
      <c r="D759" s="19"/>
    </row>
    <row r="760">
      <c r="D760" s="19"/>
    </row>
    <row r="761">
      <c r="D761" s="19"/>
    </row>
    <row r="762">
      <c r="D762" s="19"/>
    </row>
    <row r="763">
      <c r="D763" s="19"/>
    </row>
    <row r="764">
      <c r="D764" s="19"/>
    </row>
    <row r="765">
      <c r="D765" s="19"/>
    </row>
    <row r="766">
      <c r="D766" s="19"/>
    </row>
    <row r="767">
      <c r="D767" s="19"/>
    </row>
    <row r="768">
      <c r="D768" s="19"/>
    </row>
    <row r="769">
      <c r="D769" s="19"/>
    </row>
    <row r="770">
      <c r="D770" s="19"/>
    </row>
    <row r="771">
      <c r="D771" s="19"/>
    </row>
    <row r="772">
      <c r="D772" s="19"/>
    </row>
    <row r="773">
      <c r="D773" s="19"/>
    </row>
    <row r="774">
      <c r="D774" s="19"/>
    </row>
    <row r="775">
      <c r="D775" s="19"/>
    </row>
    <row r="776">
      <c r="D776" s="19"/>
    </row>
    <row r="777">
      <c r="D777" s="19"/>
    </row>
    <row r="778">
      <c r="D778" s="19"/>
    </row>
    <row r="779">
      <c r="D779" s="19"/>
    </row>
    <row r="780">
      <c r="D780" s="19"/>
    </row>
    <row r="781">
      <c r="D781" s="19"/>
    </row>
    <row r="782">
      <c r="D782" s="19"/>
    </row>
    <row r="783">
      <c r="D783" s="19"/>
    </row>
    <row r="784">
      <c r="D784" s="19"/>
    </row>
    <row r="785">
      <c r="D785" s="19"/>
    </row>
    <row r="786">
      <c r="D786" s="19"/>
    </row>
    <row r="787">
      <c r="D787" s="19"/>
    </row>
    <row r="788">
      <c r="D788" s="19"/>
    </row>
    <row r="789">
      <c r="D789" s="19"/>
    </row>
    <row r="790">
      <c r="D790" s="19"/>
    </row>
    <row r="791">
      <c r="D791" s="19"/>
    </row>
    <row r="792">
      <c r="D792" s="19"/>
    </row>
    <row r="793">
      <c r="D793" s="19"/>
    </row>
    <row r="794">
      <c r="D794" s="19"/>
    </row>
    <row r="795">
      <c r="D795" s="19"/>
    </row>
    <row r="796">
      <c r="D796" s="19"/>
    </row>
    <row r="797">
      <c r="D797" s="19"/>
    </row>
    <row r="798">
      <c r="D798" s="19"/>
    </row>
    <row r="799">
      <c r="D799" s="19"/>
    </row>
    <row r="800">
      <c r="D800" s="19"/>
    </row>
    <row r="801">
      <c r="D801" s="19"/>
    </row>
    <row r="802">
      <c r="D802" s="19"/>
    </row>
    <row r="803">
      <c r="D803" s="19"/>
    </row>
    <row r="804">
      <c r="D804" s="19"/>
    </row>
    <row r="805">
      <c r="D805" s="19"/>
    </row>
    <row r="806">
      <c r="D806" s="19"/>
    </row>
    <row r="807">
      <c r="D807" s="19"/>
    </row>
    <row r="808">
      <c r="D808" s="19"/>
    </row>
    <row r="809">
      <c r="D809" s="19"/>
    </row>
    <row r="810">
      <c r="D810" s="19"/>
    </row>
    <row r="811">
      <c r="D811" s="19"/>
    </row>
    <row r="812">
      <c r="D812" s="19"/>
    </row>
    <row r="813">
      <c r="D813" s="19"/>
    </row>
    <row r="814">
      <c r="D814" s="19"/>
    </row>
    <row r="815">
      <c r="D815" s="19"/>
    </row>
    <row r="816">
      <c r="D816" s="19"/>
    </row>
    <row r="817">
      <c r="D817" s="19"/>
    </row>
    <row r="818">
      <c r="D818" s="19"/>
    </row>
    <row r="819">
      <c r="D819" s="19"/>
    </row>
    <row r="820">
      <c r="D820" s="19"/>
    </row>
    <row r="821">
      <c r="D821" s="19"/>
    </row>
    <row r="822">
      <c r="D822" s="19"/>
    </row>
    <row r="823">
      <c r="D823" s="19"/>
    </row>
    <row r="824">
      <c r="D824" s="19"/>
    </row>
    <row r="825">
      <c r="D825" s="19"/>
    </row>
    <row r="826">
      <c r="D826" s="19"/>
    </row>
    <row r="827">
      <c r="D827" s="19"/>
    </row>
    <row r="828">
      <c r="D828" s="19"/>
    </row>
    <row r="829">
      <c r="D829" s="19"/>
    </row>
    <row r="830">
      <c r="D830" s="19"/>
    </row>
    <row r="831">
      <c r="D831" s="19"/>
    </row>
    <row r="832">
      <c r="D832" s="19"/>
    </row>
    <row r="833">
      <c r="D833" s="19"/>
    </row>
    <row r="834">
      <c r="D834" s="19"/>
    </row>
    <row r="835">
      <c r="D835" s="19"/>
    </row>
    <row r="836">
      <c r="D836" s="19"/>
    </row>
    <row r="837">
      <c r="D837" s="19"/>
    </row>
    <row r="838">
      <c r="D838" s="19"/>
    </row>
    <row r="839">
      <c r="D839" s="19"/>
    </row>
    <row r="840">
      <c r="D840" s="19"/>
    </row>
    <row r="841">
      <c r="D841" s="19"/>
    </row>
    <row r="842">
      <c r="D842" s="19"/>
    </row>
    <row r="843">
      <c r="D843" s="19"/>
    </row>
    <row r="844">
      <c r="D844" s="19"/>
    </row>
    <row r="845">
      <c r="D845" s="19"/>
    </row>
    <row r="846">
      <c r="D846" s="19"/>
    </row>
    <row r="847">
      <c r="D847" s="19"/>
    </row>
    <row r="848">
      <c r="D848" s="19"/>
    </row>
    <row r="849">
      <c r="D849" s="19"/>
    </row>
    <row r="850">
      <c r="D850" s="19"/>
    </row>
    <row r="851">
      <c r="D851" s="19"/>
    </row>
    <row r="852">
      <c r="D852" s="19"/>
    </row>
    <row r="853">
      <c r="D853" s="19"/>
    </row>
    <row r="854">
      <c r="D854" s="19"/>
    </row>
    <row r="855">
      <c r="D855" s="19"/>
    </row>
    <row r="856">
      <c r="D856" s="19"/>
    </row>
    <row r="857">
      <c r="D857" s="19"/>
    </row>
    <row r="858">
      <c r="D858" s="19"/>
    </row>
    <row r="859">
      <c r="D859" s="19"/>
    </row>
    <row r="860">
      <c r="D860" s="19"/>
    </row>
    <row r="861">
      <c r="D861" s="19"/>
    </row>
    <row r="862">
      <c r="D862" s="19"/>
    </row>
    <row r="863">
      <c r="D863" s="19"/>
    </row>
    <row r="864">
      <c r="D864" s="19"/>
    </row>
    <row r="865">
      <c r="D865" s="19"/>
    </row>
    <row r="866">
      <c r="D866" s="19"/>
    </row>
    <row r="867">
      <c r="D867" s="19"/>
    </row>
    <row r="868">
      <c r="D868" s="19"/>
    </row>
    <row r="869">
      <c r="D869" s="19"/>
    </row>
    <row r="870">
      <c r="D870" s="19"/>
    </row>
    <row r="871">
      <c r="D871" s="19"/>
    </row>
    <row r="872">
      <c r="D872" s="19"/>
    </row>
    <row r="873">
      <c r="D873" s="19"/>
    </row>
    <row r="874">
      <c r="D874" s="19"/>
    </row>
    <row r="875">
      <c r="D875" s="19"/>
    </row>
    <row r="876">
      <c r="D876" s="19"/>
    </row>
    <row r="877">
      <c r="D877" s="19"/>
    </row>
    <row r="878">
      <c r="D878" s="19"/>
    </row>
    <row r="879">
      <c r="D879" s="19"/>
    </row>
    <row r="880">
      <c r="D880" s="19"/>
    </row>
    <row r="881">
      <c r="D881" s="19"/>
    </row>
    <row r="882">
      <c r="D882" s="19"/>
    </row>
    <row r="883">
      <c r="D883" s="19"/>
    </row>
    <row r="884">
      <c r="D884" s="19"/>
    </row>
    <row r="885">
      <c r="D885" s="19"/>
    </row>
    <row r="886">
      <c r="D886" s="19"/>
    </row>
    <row r="887">
      <c r="D887" s="19"/>
    </row>
    <row r="888">
      <c r="D888" s="19"/>
    </row>
    <row r="889">
      <c r="D889" s="19"/>
    </row>
    <row r="890">
      <c r="D890" s="19"/>
    </row>
    <row r="891">
      <c r="D891" s="19"/>
    </row>
    <row r="892">
      <c r="D892" s="19"/>
    </row>
    <row r="893">
      <c r="D893" s="19"/>
    </row>
    <row r="894">
      <c r="D894" s="19"/>
    </row>
    <row r="895">
      <c r="D895" s="19"/>
    </row>
    <row r="896">
      <c r="D896" s="19"/>
    </row>
    <row r="897">
      <c r="D897" s="19"/>
    </row>
    <row r="898">
      <c r="D898" s="19"/>
    </row>
    <row r="899">
      <c r="D899" s="19"/>
    </row>
    <row r="900">
      <c r="D900" s="19"/>
    </row>
    <row r="901">
      <c r="D901" s="19"/>
    </row>
    <row r="902">
      <c r="D902" s="19"/>
    </row>
    <row r="903">
      <c r="D903" s="19"/>
    </row>
    <row r="904">
      <c r="D904" s="19"/>
    </row>
    <row r="905">
      <c r="D905" s="19"/>
    </row>
    <row r="906">
      <c r="D906" s="19"/>
    </row>
    <row r="907">
      <c r="D907" s="19"/>
    </row>
    <row r="908">
      <c r="D908" s="19"/>
    </row>
    <row r="909">
      <c r="D909" s="19"/>
    </row>
    <row r="910">
      <c r="D910" s="19"/>
    </row>
    <row r="911">
      <c r="D911" s="19"/>
    </row>
    <row r="912">
      <c r="D912" s="19"/>
    </row>
    <row r="913">
      <c r="D913" s="19"/>
    </row>
    <row r="914">
      <c r="D914" s="19"/>
    </row>
    <row r="915">
      <c r="D915" s="19"/>
    </row>
    <row r="916">
      <c r="D916" s="19"/>
    </row>
    <row r="917">
      <c r="D917" s="19"/>
    </row>
    <row r="918">
      <c r="D918" s="19"/>
    </row>
    <row r="919">
      <c r="D919" s="19"/>
    </row>
    <row r="920">
      <c r="D920" s="19"/>
    </row>
    <row r="921">
      <c r="D921" s="19"/>
    </row>
    <row r="922">
      <c r="D922" s="19"/>
    </row>
    <row r="923">
      <c r="D923" s="19"/>
    </row>
    <row r="924">
      <c r="D924" s="19"/>
    </row>
    <row r="925">
      <c r="D925" s="19"/>
    </row>
    <row r="926">
      <c r="D926" s="19"/>
    </row>
    <row r="927">
      <c r="D927" s="19"/>
    </row>
    <row r="928">
      <c r="D928" s="19"/>
    </row>
    <row r="929">
      <c r="D929" s="19"/>
    </row>
    <row r="930">
      <c r="D930" s="19"/>
    </row>
    <row r="931">
      <c r="D931" s="19"/>
    </row>
    <row r="932">
      <c r="D932" s="19"/>
    </row>
    <row r="933">
      <c r="D933" s="19"/>
    </row>
    <row r="934">
      <c r="D934" s="19"/>
    </row>
    <row r="935">
      <c r="D935" s="19"/>
    </row>
    <row r="936">
      <c r="D936" s="19"/>
    </row>
    <row r="937">
      <c r="D937" s="19"/>
    </row>
    <row r="938">
      <c r="D938" s="19"/>
    </row>
    <row r="939">
      <c r="D939" s="19"/>
    </row>
    <row r="940">
      <c r="D940" s="19"/>
    </row>
    <row r="941">
      <c r="D941" s="19"/>
    </row>
    <row r="942">
      <c r="D942" s="19"/>
    </row>
    <row r="943">
      <c r="D943" s="19"/>
    </row>
    <row r="944">
      <c r="D944" s="19"/>
    </row>
    <row r="945">
      <c r="D945" s="19"/>
    </row>
    <row r="946">
      <c r="D946" s="19"/>
    </row>
    <row r="947">
      <c r="D947" s="19"/>
    </row>
    <row r="948">
      <c r="D948" s="19"/>
    </row>
    <row r="949">
      <c r="D949" s="19"/>
    </row>
    <row r="950">
      <c r="D950" s="19"/>
    </row>
    <row r="951">
      <c r="D951" s="19"/>
    </row>
    <row r="952">
      <c r="D952" s="19"/>
    </row>
    <row r="953">
      <c r="D953" s="19"/>
    </row>
    <row r="954">
      <c r="D954" s="19"/>
    </row>
    <row r="955">
      <c r="D955" s="19"/>
    </row>
    <row r="956">
      <c r="D956" s="19"/>
    </row>
    <row r="957">
      <c r="D957" s="19"/>
    </row>
    <row r="958">
      <c r="D958" s="19"/>
    </row>
    <row r="959">
      <c r="D959" s="19"/>
    </row>
    <row r="960">
      <c r="D960" s="19"/>
    </row>
    <row r="961">
      <c r="D961" s="19"/>
    </row>
    <row r="962">
      <c r="D962" s="19"/>
    </row>
    <row r="963">
      <c r="D963" s="19"/>
    </row>
    <row r="964">
      <c r="D964" s="19"/>
    </row>
    <row r="965">
      <c r="D965" s="19"/>
    </row>
    <row r="966">
      <c r="D966" s="19"/>
    </row>
    <row r="967">
      <c r="D967" s="19"/>
    </row>
    <row r="968">
      <c r="D968" s="19"/>
    </row>
    <row r="969">
      <c r="D969" s="19"/>
    </row>
    <row r="970">
      <c r="D970" s="19"/>
    </row>
    <row r="971">
      <c r="D971" s="19"/>
    </row>
    <row r="972">
      <c r="D972" s="19"/>
    </row>
    <row r="973">
      <c r="D973" s="19"/>
    </row>
    <row r="974">
      <c r="D974" s="19"/>
    </row>
    <row r="975">
      <c r="D975" s="19"/>
    </row>
    <row r="976">
      <c r="D976" s="19"/>
    </row>
    <row r="977">
      <c r="D977" s="19"/>
    </row>
    <row r="978">
      <c r="D978" s="19"/>
    </row>
    <row r="979">
      <c r="D979" s="19"/>
    </row>
    <row r="980">
      <c r="D980" s="19"/>
    </row>
    <row r="981">
      <c r="D981" s="19"/>
    </row>
    <row r="982">
      <c r="D982" s="19"/>
    </row>
    <row r="983">
      <c r="D983" s="19"/>
    </row>
    <row r="984">
      <c r="D984" s="19"/>
    </row>
    <row r="985">
      <c r="D985" s="19"/>
    </row>
    <row r="986">
      <c r="D986" s="19"/>
    </row>
    <row r="987">
      <c r="D987" s="19"/>
    </row>
    <row r="988">
      <c r="D988" s="19"/>
    </row>
    <row r="989">
      <c r="D989" s="19"/>
    </row>
    <row r="990">
      <c r="D990" s="19"/>
    </row>
    <row r="991">
      <c r="D991" s="19"/>
    </row>
    <row r="992">
      <c r="D992" s="19"/>
    </row>
    <row r="993">
      <c r="D993" s="19"/>
    </row>
    <row r="994">
      <c r="D994" s="19"/>
    </row>
    <row r="995">
      <c r="D995" s="19"/>
    </row>
    <row r="996">
      <c r="D996" s="19"/>
    </row>
    <row r="997">
      <c r="D997" s="19"/>
    </row>
    <row r="998">
      <c r="D998" s="19"/>
    </row>
    <row r="999">
      <c r="D999" s="19"/>
    </row>
    <row r="1000">
      <c r="D1000" s="19"/>
    </row>
  </sheetData>
  <mergeCells count="5">
    <mergeCell ref="H1:J1"/>
    <mergeCell ref="L1:M1"/>
    <mergeCell ref="Q1:S1"/>
    <mergeCell ref="U1:V1"/>
    <mergeCell ref="U13:V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63" t="s">
        <v>57</v>
      </c>
      <c r="D1" s="4"/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>
      <c r="A2" s="18">
        <v>46076.0</v>
      </c>
      <c r="B2" s="64">
        <v>6890.07</v>
      </c>
      <c r="C2" s="65">
        <f t="shared" ref="C2:C53" si="1">B2/B3 - 1</f>
        <v>-0.002813513549</v>
      </c>
      <c r="D2" s="4"/>
      <c r="H2" s="5">
        <v>46076.0</v>
      </c>
      <c r="I2" s="64">
        <v>6901.25</v>
      </c>
      <c r="J2" s="64">
        <v>6916.96</v>
      </c>
      <c r="K2" s="64">
        <v>6815.43</v>
      </c>
      <c r="L2" s="64">
        <v>6890.07</v>
      </c>
      <c r="M2" s="64">
        <v>6890.07</v>
      </c>
      <c r="N2" s="6">
        <v>1.090444E10</v>
      </c>
    </row>
    <row r="3">
      <c r="A3" s="18">
        <v>46069.0</v>
      </c>
      <c r="B3" s="64">
        <v>6909.51</v>
      </c>
      <c r="C3" s="65">
        <f t="shared" si="1"/>
        <v>0.0107282294</v>
      </c>
      <c r="D3" s="4"/>
      <c r="H3" s="5">
        <v>46069.0</v>
      </c>
      <c r="I3" s="64">
        <v>6819.86</v>
      </c>
      <c r="J3" s="64">
        <v>6915.86</v>
      </c>
      <c r="K3" s="64">
        <v>6775.5</v>
      </c>
      <c r="L3" s="64">
        <v>6909.51</v>
      </c>
      <c r="M3" s="64">
        <v>6909.51</v>
      </c>
      <c r="N3" s="6">
        <v>2.110081E10</v>
      </c>
    </row>
    <row r="4">
      <c r="A4" s="18">
        <v>46062.0</v>
      </c>
      <c r="B4" s="64">
        <v>6836.17</v>
      </c>
      <c r="C4" s="65">
        <f t="shared" si="1"/>
        <v>-0.01386697056</v>
      </c>
      <c r="D4" s="4"/>
      <c r="H4" s="5">
        <v>46062.0</v>
      </c>
      <c r="I4" s="64">
        <v>6917.26</v>
      </c>
      <c r="J4" s="64">
        <v>6993.48</v>
      </c>
      <c r="K4" s="64">
        <v>6794.55</v>
      </c>
      <c r="L4" s="64">
        <v>6836.17</v>
      </c>
      <c r="M4" s="64">
        <v>6836.17</v>
      </c>
      <c r="N4" s="6">
        <v>3.025878E10</v>
      </c>
    </row>
    <row r="5">
      <c r="A5" s="18">
        <v>46055.0</v>
      </c>
      <c r="B5" s="64">
        <v>6932.3</v>
      </c>
      <c r="C5" s="65">
        <f t="shared" si="1"/>
        <v>-0.0009698761931</v>
      </c>
      <c r="D5" s="4"/>
      <c r="H5" s="5">
        <v>46055.0</v>
      </c>
      <c r="I5" s="64">
        <v>6916.64</v>
      </c>
      <c r="J5" s="64">
        <v>6993.08</v>
      </c>
      <c r="K5" s="64">
        <v>6780.13</v>
      </c>
      <c r="L5" s="64">
        <v>6932.3</v>
      </c>
      <c r="M5" s="64">
        <v>6932.3</v>
      </c>
      <c r="N5" s="6">
        <v>3.353826E10</v>
      </c>
    </row>
    <row r="6">
      <c r="A6" s="18">
        <v>46048.0</v>
      </c>
      <c r="B6" s="64">
        <v>6939.03</v>
      </c>
      <c r="C6" s="65">
        <f t="shared" si="1"/>
        <v>0.003386541462</v>
      </c>
      <c r="D6" s="4"/>
      <c r="H6" s="5">
        <v>46048.0</v>
      </c>
      <c r="I6" s="64">
        <v>6923.23</v>
      </c>
      <c r="J6" s="64">
        <v>7002.28</v>
      </c>
      <c r="K6" s="64">
        <v>6870.8</v>
      </c>
      <c r="L6" s="64">
        <v>6939.03</v>
      </c>
      <c r="M6" s="64">
        <v>6939.03</v>
      </c>
      <c r="N6" s="6">
        <v>2.938256E10</v>
      </c>
    </row>
    <row r="7">
      <c r="A7" s="18">
        <v>46041.0</v>
      </c>
      <c r="B7" s="64">
        <v>6915.61</v>
      </c>
      <c r="C7" s="65">
        <f t="shared" si="1"/>
        <v>-0.003515845078</v>
      </c>
      <c r="D7" s="4"/>
      <c r="H7" s="5">
        <v>46041.0</v>
      </c>
      <c r="I7" s="64">
        <v>6865.24</v>
      </c>
      <c r="J7" s="64">
        <v>6934.75</v>
      </c>
      <c r="K7" s="64">
        <v>6789.05</v>
      </c>
      <c r="L7" s="64">
        <v>6915.61</v>
      </c>
      <c r="M7" s="64">
        <v>6915.61</v>
      </c>
      <c r="N7" s="6">
        <v>2.178453E10</v>
      </c>
    </row>
    <row r="8">
      <c r="A8" s="18">
        <v>46034.0</v>
      </c>
      <c r="B8" s="64">
        <v>6940.01</v>
      </c>
      <c r="C8" s="65">
        <f t="shared" si="1"/>
        <v>-0.003771022698</v>
      </c>
      <c r="D8" s="4"/>
      <c r="H8" s="5">
        <v>46034.0</v>
      </c>
      <c r="I8" s="64">
        <v>6944.12</v>
      </c>
      <c r="J8" s="64">
        <v>6986.33</v>
      </c>
      <c r="K8" s="64">
        <v>6885.74</v>
      </c>
      <c r="L8" s="64">
        <v>6940.01</v>
      </c>
      <c r="M8" s="64">
        <v>6940.01</v>
      </c>
      <c r="N8" s="6">
        <v>2.61122E10</v>
      </c>
    </row>
    <row r="9">
      <c r="A9" s="18">
        <v>46027.0</v>
      </c>
      <c r="B9" s="64">
        <v>6966.28</v>
      </c>
      <c r="C9" s="65">
        <f t="shared" si="1"/>
        <v>0.01571924934</v>
      </c>
      <c r="D9" s="4"/>
      <c r="H9" s="5">
        <v>46027.0</v>
      </c>
      <c r="I9" s="64">
        <v>6892.19</v>
      </c>
      <c r="J9" s="64">
        <v>6978.36</v>
      </c>
      <c r="K9" s="64">
        <v>6891.56</v>
      </c>
      <c r="L9" s="64">
        <v>6966.28</v>
      </c>
      <c r="M9" s="64">
        <v>6966.28</v>
      </c>
      <c r="N9" s="6">
        <v>2.699319E10</v>
      </c>
    </row>
    <row r="10">
      <c r="A10" s="18">
        <v>46020.0</v>
      </c>
      <c r="B10" s="64">
        <v>6858.47</v>
      </c>
      <c r="C10" s="65">
        <f t="shared" si="1"/>
        <v>-0.01031322061</v>
      </c>
      <c r="D10" s="4"/>
      <c r="H10" s="5">
        <v>46020.0</v>
      </c>
      <c r="I10" s="64">
        <v>6903.6</v>
      </c>
      <c r="J10" s="64">
        <v>6920.21</v>
      </c>
      <c r="K10" s="64">
        <v>6824.31</v>
      </c>
      <c r="L10" s="64">
        <v>6858.47</v>
      </c>
      <c r="M10" s="64">
        <v>6858.47</v>
      </c>
      <c r="N10" s="6">
        <v>1.429763E10</v>
      </c>
    </row>
    <row r="11">
      <c r="A11" s="18">
        <v>46013.0</v>
      </c>
      <c r="B11" s="64">
        <v>6929.94</v>
      </c>
      <c r="C11" s="65">
        <f t="shared" si="1"/>
        <v>0.01396444509</v>
      </c>
      <c r="D11" s="4"/>
      <c r="H11" s="5">
        <v>46013.0</v>
      </c>
      <c r="I11" s="64">
        <v>6865.21</v>
      </c>
      <c r="J11" s="64">
        <v>6945.77</v>
      </c>
      <c r="K11" s="64">
        <v>6855.74</v>
      </c>
      <c r="L11" s="64">
        <v>6929.94</v>
      </c>
      <c r="M11" s="64">
        <v>6929.94</v>
      </c>
      <c r="N11" s="6">
        <v>1.267041E10</v>
      </c>
    </row>
    <row r="12">
      <c r="A12" s="18">
        <v>46006.0</v>
      </c>
      <c r="B12" s="64">
        <v>6834.5</v>
      </c>
      <c r="C12" s="65">
        <f t="shared" si="1"/>
        <v>0.001038461144</v>
      </c>
      <c r="D12" s="4"/>
      <c r="H12" s="5">
        <v>46006.0</v>
      </c>
      <c r="I12" s="64">
        <v>6860.19</v>
      </c>
      <c r="J12" s="64">
        <v>6861.59</v>
      </c>
      <c r="K12" s="64">
        <v>6720.43</v>
      </c>
      <c r="L12" s="64">
        <v>6834.5</v>
      </c>
      <c r="M12" s="64">
        <v>6834.5</v>
      </c>
      <c r="N12" s="6">
        <v>2.873656E10</v>
      </c>
    </row>
    <row r="13">
      <c r="A13" s="18">
        <v>45999.0</v>
      </c>
      <c r="B13" s="64">
        <v>6827.41</v>
      </c>
      <c r="C13" s="65">
        <f t="shared" si="1"/>
        <v>-0.006257277597</v>
      </c>
      <c r="D13" s="4"/>
      <c r="H13" s="5">
        <v>45999.0</v>
      </c>
      <c r="I13" s="64">
        <v>6875.2</v>
      </c>
      <c r="J13" s="64">
        <v>6903.46</v>
      </c>
      <c r="K13" s="64">
        <v>6801.79</v>
      </c>
      <c r="L13" s="64">
        <v>6827.41</v>
      </c>
      <c r="M13" s="64">
        <v>6827.41</v>
      </c>
      <c r="N13" s="6">
        <v>2.472297E10</v>
      </c>
    </row>
    <row r="14">
      <c r="A14" s="18">
        <v>45992.0</v>
      </c>
      <c r="B14" s="64">
        <v>6870.4</v>
      </c>
      <c r="C14" s="65">
        <f t="shared" si="1"/>
        <v>0.003111362239</v>
      </c>
      <c r="D14" s="4"/>
      <c r="H14" s="5">
        <v>45992.0</v>
      </c>
      <c r="I14" s="64">
        <v>6812.3</v>
      </c>
      <c r="J14" s="64">
        <v>6895.78</v>
      </c>
      <c r="K14" s="64">
        <v>6799.94</v>
      </c>
      <c r="L14" s="64">
        <v>6870.4</v>
      </c>
      <c r="M14" s="64">
        <v>6870.4</v>
      </c>
      <c r="N14" s="6">
        <v>2.368544E10</v>
      </c>
    </row>
    <row r="15">
      <c r="A15" s="18">
        <v>45985.0</v>
      </c>
      <c r="B15" s="64">
        <v>6849.09</v>
      </c>
      <c r="C15" s="65">
        <f t="shared" si="1"/>
        <v>0.0372709939</v>
      </c>
      <c r="D15" s="66" t="s">
        <v>58</v>
      </c>
      <c r="H15" s="5">
        <v>45985.0</v>
      </c>
      <c r="I15" s="64">
        <v>6636.54</v>
      </c>
      <c r="J15" s="64">
        <v>6850.86</v>
      </c>
      <c r="K15" s="64">
        <v>6630.7</v>
      </c>
      <c r="L15" s="64">
        <v>6849.09</v>
      </c>
      <c r="M15" s="64">
        <v>6849.09</v>
      </c>
      <c r="N15" s="6">
        <v>1.808661E10</v>
      </c>
    </row>
    <row r="16">
      <c r="A16" s="18">
        <v>45978.0</v>
      </c>
      <c r="B16" s="64">
        <v>6602.99</v>
      </c>
      <c r="C16" s="65">
        <f t="shared" si="1"/>
        <v>-0.01947102141</v>
      </c>
      <c r="D16" s="66" t="s">
        <v>59</v>
      </c>
      <c r="H16" s="5">
        <v>45978.0</v>
      </c>
      <c r="I16" s="64">
        <v>6713.61</v>
      </c>
      <c r="J16" s="64">
        <v>6770.35</v>
      </c>
      <c r="K16" s="64">
        <v>6521.92</v>
      </c>
      <c r="L16" s="64">
        <v>6602.99</v>
      </c>
      <c r="M16" s="64">
        <v>6602.99</v>
      </c>
      <c r="N16" s="6">
        <v>2.691123E10</v>
      </c>
    </row>
    <row r="17">
      <c r="A17" s="18">
        <v>45971.0</v>
      </c>
      <c r="B17" s="64">
        <v>6734.11</v>
      </c>
      <c r="C17" s="65">
        <f t="shared" si="1"/>
        <v>0.000789145167</v>
      </c>
      <c r="D17" s="67" t="s">
        <v>60</v>
      </c>
      <c r="H17" s="5">
        <v>45971.0</v>
      </c>
      <c r="I17" s="64">
        <v>6785.36</v>
      </c>
      <c r="J17" s="64">
        <v>6869.91</v>
      </c>
      <c r="K17" s="64">
        <v>6646.87</v>
      </c>
      <c r="L17" s="64">
        <v>6734.11</v>
      </c>
      <c r="M17" s="64">
        <v>6734.11</v>
      </c>
      <c r="N17" s="6">
        <v>2.615953E10</v>
      </c>
    </row>
    <row r="18">
      <c r="A18" s="18">
        <v>45964.0</v>
      </c>
      <c r="B18" s="64">
        <v>6728.8</v>
      </c>
      <c r="C18" s="65">
        <f t="shared" si="1"/>
        <v>-0.01628607351</v>
      </c>
      <c r="D18" s="66" t="s">
        <v>61</v>
      </c>
      <c r="H18" s="5">
        <v>45964.0</v>
      </c>
      <c r="I18" s="64">
        <v>6882.32</v>
      </c>
      <c r="J18" s="64">
        <v>6882.32</v>
      </c>
      <c r="K18" s="64">
        <v>6631.44</v>
      </c>
      <c r="L18" s="64">
        <v>6728.8</v>
      </c>
      <c r="M18" s="64">
        <v>6728.8</v>
      </c>
      <c r="N18" s="6">
        <v>2.97228E10</v>
      </c>
    </row>
    <row r="19">
      <c r="A19" s="18">
        <v>45957.0</v>
      </c>
      <c r="B19" s="64">
        <v>6840.2</v>
      </c>
      <c r="C19" s="65">
        <f t="shared" si="1"/>
        <v>0.007142552148</v>
      </c>
      <c r="H19" s="5">
        <v>45957.0</v>
      </c>
      <c r="I19" s="64">
        <v>6845.46</v>
      </c>
      <c r="J19" s="64">
        <v>6920.34</v>
      </c>
      <c r="K19" s="64">
        <v>6814.26</v>
      </c>
      <c r="L19" s="64">
        <v>6840.2</v>
      </c>
      <c r="M19" s="64">
        <v>6840.2</v>
      </c>
      <c r="N19" s="6">
        <v>2.971769E10</v>
      </c>
    </row>
    <row r="20">
      <c r="A20" s="18">
        <v>45950.0</v>
      </c>
      <c r="B20" s="64">
        <v>6791.69</v>
      </c>
      <c r="C20" s="65">
        <f t="shared" si="1"/>
        <v>0.01915963511</v>
      </c>
      <c r="D20" s="4"/>
      <c r="H20" s="5">
        <v>45950.0</v>
      </c>
      <c r="I20" s="64">
        <v>6690.05</v>
      </c>
      <c r="J20" s="64">
        <v>6807.11</v>
      </c>
      <c r="K20" s="64">
        <v>6655.69</v>
      </c>
      <c r="L20" s="64">
        <v>6791.69</v>
      </c>
      <c r="M20" s="64">
        <v>6791.69</v>
      </c>
      <c r="N20" s="6">
        <v>2.625117E10</v>
      </c>
    </row>
    <row r="21">
      <c r="A21" s="18">
        <v>45943.0</v>
      </c>
      <c r="B21" s="64">
        <v>6664.01</v>
      </c>
      <c r="C21" s="65">
        <f t="shared" si="1"/>
        <v>0.01701637998</v>
      </c>
      <c r="D21" s="4"/>
      <c r="H21" s="5">
        <v>45943.0</v>
      </c>
      <c r="I21" s="64">
        <v>6622.53</v>
      </c>
      <c r="J21" s="64">
        <v>6724.12</v>
      </c>
      <c r="K21" s="64">
        <v>6555.07</v>
      </c>
      <c r="L21" s="64">
        <v>6664.01</v>
      </c>
      <c r="M21" s="64">
        <v>6664.01</v>
      </c>
      <c r="N21" s="6">
        <v>2.801024E10</v>
      </c>
    </row>
    <row r="22">
      <c r="A22" s="18">
        <v>45936.0</v>
      </c>
      <c r="B22" s="64">
        <v>6552.51</v>
      </c>
      <c r="C22" s="65">
        <f t="shared" si="1"/>
        <v>-0.02431285076</v>
      </c>
      <c r="D22" s="4"/>
      <c r="H22" s="5">
        <v>45936.0</v>
      </c>
      <c r="I22" s="64">
        <v>6733.86</v>
      </c>
      <c r="J22" s="64">
        <v>6764.58</v>
      </c>
      <c r="K22" s="64">
        <v>6550.78</v>
      </c>
      <c r="L22" s="64">
        <v>6552.51</v>
      </c>
      <c r="M22" s="64">
        <v>6552.51</v>
      </c>
      <c r="N22" s="6">
        <v>2.851537E10</v>
      </c>
    </row>
    <row r="23">
      <c r="A23" s="18">
        <v>45929.0</v>
      </c>
      <c r="B23" s="64">
        <v>6715.79</v>
      </c>
      <c r="C23" s="65">
        <f t="shared" si="1"/>
        <v>0.01085088129</v>
      </c>
      <c r="D23" s="4"/>
      <c r="H23" s="5">
        <v>45929.0</v>
      </c>
      <c r="I23" s="64">
        <v>6661.58</v>
      </c>
      <c r="J23" s="64">
        <v>6750.87</v>
      </c>
      <c r="K23" s="64">
        <v>6641.0</v>
      </c>
      <c r="L23" s="64">
        <v>6715.79</v>
      </c>
      <c r="M23" s="64">
        <v>6715.79</v>
      </c>
      <c r="N23" s="6">
        <v>2.858316E10</v>
      </c>
    </row>
    <row r="24">
      <c r="A24" s="18">
        <v>45922.0</v>
      </c>
      <c r="B24" s="64">
        <v>6643.7</v>
      </c>
      <c r="C24" s="65">
        <f t="shared" si="1"/>
        <v>-0.003100072625</v>
      </c>
      <c r="D24" s="4"/>
      <c r="H24" s="5">
        <v>45922.0</v>
      </c>
      <c r="I24" s="64">
        <v>6654.28</v>
      </c>
      <c r="J24" s="64">
        <v>6699.52</v>
      </c>
      <c r="K24" s="64">
        <v>6569.22</v>
      </c>
      <c r="L24" s="64">
        <v>6643.7</v>
      </c>
      <c r="M24" s="64">
        <v>6643.7</v>
      </c>
      <c r="N24" s="6">
        <v>2.77132E10</v>
      </c>
    </row>
    <row r="25">
      <c r="A25" s="18">
        <v>45915.0</v>
      </c>
      <c r="B25" s="64">
        <v>6664.36</v>
      </c>
      <c r="C25" s="65">
        <f t="shared" si="1"/>
        <v>0.01216076449</v>
      </c>
      <c r="D25" s="4"/>
      <c r="H25" s="5">
        <v>45915.0</v>
      </c>
      <c r="I25" s="64">
        <v>6603.49</v>
      </c>
      <c r="J25" s="64">
        <v>6671.82</v>
      </c>
      <c r="K25" s="64">
        <v>6551.15</v>
      </c>
      <c r="L25" s="64">
        <v>6664.36</v>
      </c>
      <c r="M25" s="64">
        <v>6664.36</v>
      </c>
      <c r="N25" s="6">
        <v>3.062823E10</v>
      </c>
    </row>
    <row r="26">
      <c r="A26" s="18">
        <v>45908.0</v>
      </c>
      <c r="B26" s="64">
        <v>6584.29</v>
      </c>
      <c r="C26" s="65">
        <f t="shared" si="1"/>
        <v>0.01585898326</v>
      </c>
      <c r="D26" s="4"/>
      <c r="H26" s="5">
        <v>45908.0</v>
      </c>
      <c r="I26" s="64">
        <v>6498.09</v>
      </c>
      <c r="J26" s="64">
        <v>6600.21</v>
      </c>
      <c r="K26" s="64">
        <v>6483.08</v>
      </c>
      <c r="L26" s="64">
        <v>6584.29</v>
      </c>
      <c r="M26" s="64">
        <v>6584.29</v>
      </c>
      <c r="N26" s="6">
        <v>2.533096E10</v>
      </c>
    </row>
    <row r="27">
      <c r="A27" s="18">
        <v>45901.0</v>
      </c>
      <c r="B27" s="64">
        <v>6481.5</v>
      </c>
      <c r="C27" s="65">
        <f t="shared" si="1"/>
        <v>0.003287793371</v>
      </c>
      <c r="D27" s="4"/>
      <c r="H27" s="5">
        <v>45901.0</v>
      </c>
      <c r="I27" s="64">
        <v>6401.51</v>
      </c>
      <c r="J27" s="64">
        <v>6532.65</v>
      </c>
      <c r="K27" s="64">
        <v>6360.58</v>
      </c>
      <c r="L27" s="64">
        <v>6481.5</v>
      </c>
      <c r="M27" s="64">
        <v>6481.5</v>
      </c>
      <c r="N27" s="6">
        <v>1.898625E10</v>
      </c>
    </row>
    <row r="28">
      <c r="A28" s="18">
        <v>45894.0</v>
      </c>
      <c r="B28" s="64">
        <v>6460.26</v>
      </c>
      <c r="C28" s="65">
        <f t="shared" si="1"/>
        <v>-0.001028311821</v>
      </c>
      <c r="D28" s="4"/>
      <c r="H28" s="5">
        <v>45894.0</v>
      </c>
      <c r="I28" s="64">
        <v>6457.67</v>
      </c>
      <c r="J28" s="64">
        <v>6508.23</v>
      </c>
      <c r="K28" s="64">
        <v>6429.21</v>
      </c>
      <c r="L28" s="64">
        <v>6460.26</v>
      </c>
      <c r="M28" s="64">
        <v>6460.26</v>
      </c>
      <c r="N28" s="6">
        <v>2.158903E10</v>
      </c>
    </row>
    <row r="29">
      <c r="A29" s="18">
        <v>45887.0</v>
      </c>
      <c r="B29" s="64">
        <v>6466.91</v>
      </c>
      <c r="C29" s="65">
        <f t="shared" si="1"/>
        <v>0.002652795436</v>
      </c>
      <c r="D29" s="4"/>
      <c r="H29" s="5">
        <v>45887.0</v>
      </c>
      <c r="I29" s="64">
        <v>6445.02</v>
      </c>
      <c r="J29" s="64">
        <v>6478.89</v>
      </c>
      <c r="K29" s="64">
        <v>6343.86</v>
      </c>
      <c r="L29" s="64">
        <v>6466.91</v>
      </c>
      <c r="M29" s="64">
        <v>6466.91</v>
      </c>
      <c r="N29" s="6">
        <v>2.207054E10</v>
      </c>
    </row>
    <row r="30">
      <c r="A30" s="18">
        <v>45880.0</v>
      </c>
      <c r="B30" s="64">
        <v>6449.8</v>
      </c>
      <c r="C30" s="65">
        <f t="shared" si="1"/>
        <v>0.009445257417</v>
      </c>
      <c r="D30" s="4"/>
      <c r="H30" s="5">
        <v>45880.0</v>
      </c>
      <c r="I30" s="64">
        <v>6389.67</v>
      </c>
      <c r="J30" s="64">
        <v>6481.34</v>
      </c>
      <c r="K30" s="64">
        <v>6364.06</v>
      </c>
      <c r="L30" s="64">
        <v>6449.8</v>
      </c>
      <c r="M30" s="64">
        <v>6449.8</v>
      </c>
      <c r="N30" s="6">
        <v>2.402076E10</v>
      </c>
    </row>
    <row r="31">
      <c r="A31" s="18">
        <v>45873.0</v>
      </c>
      <c r="B31" s="64">
        <v>6389.45</v>
      </c>
      <c r="C31" s="65">
        <f t="shared" si="1"/>
        <v>0.02427697294</v>
      </c>
      <c r="D31" s="4"/>
      <c r="H31" s="5">
        <v>45873.0</v>
      </c>
      <c r="I31" s="64">
        <v>6271.71</v>
      </c>
      <c r="J31" s="64">
        <v>6395.16</v>
      </c>
      <c r="K31" s="64">
        <v>6271.71</v>
      </c>
      <c r="L31" s="64">
        <v>6389.45</v>
      </c>
      <c r="M31" s="64">
        <v>6389.45</v>
      </c>
      <c r="N31" s="6">
        <v>2.584455E10</v>
      </c>
    </row>
    <row r="32">
      <c r="A32" s="18">
        <v>45866.0</v>
      </c>
      <c r="B32" s="64">
        <v>6238.01</v>
      </c>
      <c r="C32" s="65">
        <f t="shared" si="1"/>
        <v>-0.02357778807</v>
      </c>
      <c r="D32" s="4"/>
      <c r="H32" s="5">
        <v>45866.0</v>
      </c>
      <c r="I32" s="64">
        <v>6397.69</v>
      </c>
      <c r="J32" s="64">
        <v>6427.02</v>
      </c>
      <c r="K32" s="64">
        <v>6212.69</v>
      </c>
      <c r="L32" s="64">
        <v>6238.01</v>
      </c>
      <c r="M32" s="64">
        <v>6238.01</v>
      </c>
      <c r="N32" s="6">
        <v>2.692104E10</v>
      </c>
    </row>
    <row r="33">
      <c r="A33" s="18">
        <v>45859.0</v>
      </c>
      <c r="B33" s="64">
        <v>6388.64</v>
      </c>
      <c r="C33" s="65">
        <f t="shared" si="1"/>
        <v>0.0145867974</v>
      </c>
      <c r="D33" s="4"/>
      <c r="H33" s="5">
        <v>45859.0</v>
      </c>
      <c r="I33" s="64">
        <v>6304.74</v>
      </c>
      <c r="J33" s="64">
        <v>6395.82</v>
      </c>
      <c r="K33" s="64">
        <v>6281.71</v>
      </c>
      <c r="L33" s="64">
        <v>6388.64</v>
      </c>
      <c r="M33" s="64">
        <v>6388.64</v>
      </c>
      <c r="N33" s="6">
        <v>2.606883E10</v>
      </c>
    </row>
    <row r="34">
      <c r="A34" s="18">
        <v>45852.0</v>
      </c>
      <c r="B34" s="64">
        <v>6296.79</v>
      </c>
      <c r="C34" s="65">
        <f t="shared" si="1"/>
        <v>0.005917169216</v>
      </c>
      <c r="D34" s="4"/>
      <c r="H34" s="5">
        <v>45852.0</v>
      </c>
      <c r="I34" s="64">
        <v>6255.15</v>
      </c>
      <c r="J34" s="64">
        <v>6315.61</v>
      </c>
      <c r="K34" s="64">
        <v>6201.59</v>
      </c>
      <c r="L34" s="64">
        <v>6296.79</v>
      </c>
      <c r="M34" s="64">
        <v>6296.79</v>
      </c>
      <c r="N34" s="6">
        <v>2.573037E10</v>
      </c>
    </row>
    <row r="35">
      <c r="A35" s="18">
        <v>45845.0</v>
      </c>
      <c r="B35" s="64">
        <v>6259.75</v>
      </c>
      <c r="C35" s="65">
        <f t="shared" si="1"/>
        <v>-0.003121342177</v>
      </c>
      <c r="D35" s="4"/>
      <c r="H35" s="5">
        <v>45845.0</v>
      </c>
      <c r="I35" s="64">
        <v>6259.04</v>
      </c>
      <c r="J35" s="64">
        <v>6290.22</v>
      </c>
      <c r="K35" s="64">
        <v>6201.0</v>
      </c>
      <c r="L35" s="64">
        <v>6259.75</v>
      </c>
      <c r="M35" s="64">
        <v>6259.75</v>
      </c>
      <c r="N35" s="6">
        <v>2.581267E10</v>
      </c>
    </row>
    <row r="36">
      <c r="A36" s="18">
        <v>45838.0</v>
      </c>
      <c r="B36" s="64">
        <v>6279.35</v>
      </c>
      <c r="C36" s="65">
        <f t="shared" si="1"/>
        <v>0.01721671713</v>
      </c>
      <c r="D36" s="4"/>
      <c r="H36" s="5">
        <v>45838.0</v>
      </c>
      <c r="I36" s="64">
        <v>6193.36</v>
      </c>
      <c r="J36" s="64">
        <v>6284.65</v>
      </c>
      <c r="K36" s="64">
        <v>6174.97</v>
      </c>
      <c r="L36" s="64">
        <v>6279.35</v>
      </c>
      <c r="M36" s="64">
        <v>6279.35</v>
      </c>
      <c r="N36" s="6">
        <v>2.108203E10</v>
      </c>
    </row>
    <row r="37">
      <c r="A37" s="18">
        <v>45831.0</v>
      </c>
      <c r="B37" s="64">
        <v>6173.07</v>
      </c>
      <c r="C37" s="65">
        <f t="shared" si="1"/>
        <v>0.03438932679</v>
      </c>
      <c r="D37" s="4"/>
      <c r="H37" s="5">
        <v>45831.0</v>
      </c>
      <c r="I37" s="64">
        <v>5969.67</v>
      </c>
      <c r="J37" s="64">
        <v>6187.68</v>
      </c>
      <c r="K37" s="64">
        <v>5943.23</v>
      </c>
      <c r="L37" s="64">
        <v>6173.07</v>
      </c>
      <c r="M37" s="64">
        <v>6173.07</v>
      </c>
      <c r="N37" s="6">
        <v>2.940929E10</v>
      </c>
    </row>
    <row r="38">
      <c r="A38" s="18">
        <v>45824.0</v>
      </c>
      <c r="B38" s="64">
        <v>5967.84</v>
      </c>
      <c r="C38" s="65">
        <f t="shared" si="1"/>
        <v>-0.001527529835</v>
      </c>
      <c r="D38" s="4"/>
      <c r="H38" s="5">
        <v>45824.0</v>
      </c>
      <c r="I38" s="64">
        <v>6004.0</v>
      </c>
      <c r="J38" s="64">
        <v>6050.83</v>
      </c>
      <c r="K38" s="64">
        <v>5952.56</v>
      </c>
      <c r="L38" s="64">
        <v>5967.84</v>
      </c>
      <c r="M38" s="64">
        <v>5967.84</v>
      </c>
      <c r="N38" s="6">
        <v>2.262538E10</v>
      </c>
    </row>
    <row r="39">
      <c r="A39" s="18">
        <v>45817.0</v>
      </c>
      <c r="B39" s="64">
        <v>5976.97</v>
      </c>
      <c r="C39" s="65">
        <f t="shared" si="1"/>
        <v>-0.003898099447</v>
      </c>
      <c r="D39" s="4"/>
      <c r="H39" s="5">
        <v>45817.0</v>
      </c>
      <c r="I39" s="64">
        <v>6004.63</v>
      </c>
      <c r="J39" s="64">
        <v>6059.4</v>
      </c>
      <c r="K39" s="64">
        <v>5963.21</v>
      </c>
      <c r="L39" s="64">
        <v>5976.97</v>
      </c>
      <c r="M39" s="64">
        <v>5976.97</v>
      </c>
      <c r="N39" s="6">
        <v>2.45652E10</v>
      </c>
    </row>
    <row r="40">
      <c r="A40" s="18">
        <v>45810.0</v>
      </c>
      <c r="B40" s="64">
        <v>6000.36</v>
      </c>
      <c r="C40" s="65">
        <f t="shared" si="1"/>
        <v>0.01499909501</v>
      </c>
      <c r="D40" s="4"/>
      <c r="H40" s="5">
        <v>45810.0</v>
      </c>
      <c r="I40" s="64">
        <v>5896.68</v>
      </c>
      <c r="J40" s="64">
        <v>6016.87</v>
      </c>
      <c r="K40" s="64">
        <v>5861.43</v>
      </c>
      <c r="L40" s="64">
        <v>6000.36</v>
      </c>
      <c r="M40" s="64">
        <v>6000.36</v>
      </c>
      <c r="N40" s="6">
        <v>2.407353E10</v>
      </c>
    </row>
    <row r="41">
      <c r="A41" s="18">
        <v>45803.0</v>
      </c>
      <c r="B41" s="64">
        <v>5911.69</v>
      </c>
      <c r="C41" s="65">
        <f t="shared" si="1"/>
        <v>0.01876156765</v>
      </c>
      <c r="D41" s="4"/>
      <c r="H41" s="8">
        <v>45803.0</v>
      </c>
      <c r="I41" s="64">
        <v>5854.07</v>
      </c>
      <c r="J41" s="64">
        <v>5943.13</v>
      </c>
      <c r="K41" s="64">
        <v>5843.66</v>
      </c>
      <c r="L41" s="64">
        <v>5911.69</v>
      </c>
      <c r="M41" s="64">
        <v>5911.69</v>
      </c>
      <c r="N41" s="6">
        <v>2.097972E10</v>
      </c>
    </row>
    <row r="42">
      <c r="A42" s="18">
        <v>45796.0</v>
      </c>
      <c r="B42" s="64">
        <v>5802.82</v>
      </c>
      <c r="C42" s="65">
        <f t="shared" si="1"/>
        <v>-0.02610776755</v>
      </c>
      <c r="D42" s="4"/>
      <c r="H42" s="8">
        <v>45796.0</v>
      </c>
      <c r="I42" s="64">
        <v>5902.88</v>
      </c>
      <c r="J42" s="64">
        <v>5968.61</v>
      </c>
      <c r="K42" s="64">
        <v>5767.41</v>
      </c>
      <c r="L42" s="64">
        <v>5802.82</v>
      </c>
      <c r="M42" s="64">
        <v>5802.82</v>
      </c>
      <c r="N42" s="6">
        <v>2.363498E10</v>
      </c>
    </row>
    <row r="43">
      <c r="A43" s="18">
        <v>45789.0</v>
      </c>
      <c r="B43" s="64">
        <v>5958.38</v>
      </c>
      <c r="C43" s="65">
        <f t="shared" si="1"/>
        <v>0.05273405408</v>
      </c>
      <c r="D43" s="4"/>
      <c r="H43" s="8">
        <v>45789.0</v>
      </c>
      <c r="I43" s="64">
        <v>5807.2</v>
      </c>
      <c r="J43" s="64">
        <v>5958.62</v>
      </c>
      <c r="K43" s="64">
        <v>5786.08</v>
      </c>
      <c r="L43" s="64">
        <v>5958.38</v>
      </c>
      <c r="M43" s="64">
        <v>5958.38</v>
      </c>
      <c r="N43" s="6">
        <v>2.660646E10</v>
      </c>
    </row>
    <row r="44">
      <c r="A44" s="18">
        <v>45782.0</v>
      </c>
      <c r="B44" s="64">
        <v>5659.91</v>
      </c>
      <c r="C44" s="65">
        <f t="shared" si="1"/>
        <v>-0.004705741673</v>
      </c>
      <c r="D44" s="4"/>
      <c r="H44" s="8">
        <v>45782.0</v>
      </c>
      <c r="I44" s="64">
        <v>5655.32</v>
      </c>
      <c r="J44" s="64">
        <v>5720.1</v>
      </c>
      <c r="K44" s="64">
        <v>5578.64</v>
      </c>
      <c r="L44" s="64">
        <v>5659.91</v>
      </c>
      <c r="M44" s="64">
        <v>5659.91</v>
      </c>
      <c r="N44" s="6">
        <v>2.433545E10</v>
      </c>
    </row>
    <row r="45">
      <c r="A45" s="18">
        <v>45775.0</v>
      </c>
      <c r="B45" s="64">
        <v>5686.67</v>
      </c>
      <c r="C45" s="65">
        <f t="shared" si="1"/>
        <v>0.0292224187</v>
      </c>
      <c r="D45" s="4"/>
      <c r="H45" s="5">
        <v>45775.0</v>
      </c>
      <c r="I45" s="64">
        <v>5529.22</v>
      </c>
      <c r="J45" s="64">
        <v>5700.7</v>
      </c>
      <c r="K45" s="64">
        <v>5433.24</v>
      </c>
      <c r="L45" s="64">
        <v>5686.67</v>
      </c>
      <c r="M45" s="64">
        <v>5686.67</v>
      </c>
      <c r="N45" s="6">
        <v>2.424417E10</v>
      </c>
    </row>
    <row r="46">
      <c r="A46" s="18">
        <v>45768.0</v>
      </c>
      <c r="B46" s="64">
        <v>5525.21</v>
      </c>
      <c r="C46" s="65">
        <f t="shared" si="1"/>
        <v>0.04590644935</v>
      </c>
      <c r="D46" s="4"/>
      <c r="H46" s="5">
        <v>45768.0</v>
      </c>
      <c r="I46" s="64">
        <v>5232.94</v>
      </c>
      <c r="J46" s="64">
        <v>5528.11</v>
      </c>
      <c r="K46" s="64">
        <v>5101.63</v>
      </c>
      <c r="L46" s="64">
        <v>5525.21</v>
      </c>
      <c r="M46" s="64">
        <v>5525.21</v>
      </c>
      <c r="N46" s="6">
        <v>2.319897E10</v>
      </c>
    </row>
    <row r="47">
      <c r="A47" s="18">
        <v>45761.0</v>
      </c>
      <c r="B47" s="64">
        <v>5282.7</v>
      </c>
      <c r="C47" s="65">
        <f t="shared" si="1"/>
        <v>-0.01503907998</v>
      </c>
      <c r="D47" s="4"/>
      <c r="H47" s="5">
        <v>45761.0</v>
      </c>
      <c r="I47" s="64">
        <v>5441.96</v>
      </c>
      <c r="J47" s="64">
        <v>5459.46</v>
      </c>
      <c r="K47" s="64">
        <v>5220.79</v>
      </c>
      <c r="L47" s="64">
        <v>5282.7</v>
      </c>
      <c r="M47" s="64">
        <v>5282.7</v>
      </c>
      <c r="N47" s="6">
        <v>1.867118E10</v>
      </c>
    </row>
    <row r="48">
      <c r="A48" s="18">
        <v>45754.0</v>
      </c>
      <c r="B48" s="64">
        <v>5363.36</v>
      </c>
      <c r="C48" s="65">
        <f t="shared" si="1"/>
        <v>0.05701132028</v>
      </c>
      <c r="D48" s="4"/>
      <c r="H48" s="5">
        <v>45754.0</v>
      </c>
      <c r="I48" s="64">
        <v>4953.79</v>
      </c>
      <c r="J48" s="64">
        <v>5481.34</v>
      </c>
      <c r="K48" s="64">
        <v>4835.04</v>
      </c>
      <c r="L48" s="64">
        <v>5363.36</v>
      </c>
      <c r="M48" s="64">
        <v>5363.36</v>
      </c>
      <c r="N48" s="6">
        <v>3.786941E10</v>
      </c>
    </row>
    <row r="49">
      <c r="A49" s="18">
        <v>45747.0</v>
      </c>
      <c r="B49" s="64">
        <v>5074.08</v>
      </c>
      <c r="C49" s="65">
        <f t="shared" si="1"/>
        <v>-0.09081982605</v>
      </c>
      <c r="D49" s="4"/>
      <c r="H49" s="5">
        <v>45747.0</v>
      </c>
      <c r="I49" s="64">
        <v>5527.91</v>
      </c>
      <c r="J49" s="64">
        <v>5695.31</v>
      </c>
      <c r="K49" s="64">
        <v>5069.9</v>
      </c>
      <c r="L49" s="64">
        <v>5074.08</v>
      </c>
      <c r="M49" s="64">
        <v>5074.08</v>
      </c>
      <c r="N49" s="6">
        <v>2.999955E10</v>
      </c>
    </row>
    <row r="50">
      <c r="A50" s="18">
        <v>45740.0</v>
      </c>
      <c r="B50" s="64">
        <v>5580.94</v>
      </c>
      <c r="C50" s="65">
        <f t="shared" si="1"/>
        <v>-0.01528347296</v>
      </c>
      <c r="D50" s="4"/>
      <c r="H50" s="5">
        <v>45740.0</v>
      </c>
      <c r="I50" s="64">
        <v>5718.08</v>
      </c>
      <c r="J50" s="64">
        <v>5786.95</v>
      </c>
      <c r="K50" s="64">
        <v>5572.42</v>
      </c>
      <c r="L50" s="64">
        <v>5580.94</v>
      </c>
      <c r="M50" s="64">
        <v>5580.94</v>
      </c>
      <c r="N50" s="6">
        <v>2.208526E10</v>
      </c>
    </row>
    <row r="51">
      <c r="A51" s="18">
        <v>45733.0</v>
      </c>
      <c r="B51" s="64">
        <v>5667.56</v>
      </c>
      <c r="C51" s="65">
        <f t="shared" si="1"/>
        <v>0.005075421976</v>
      </c>
      <c r="D51" s="4"/>
      <c r="H51" s="5">
        <v>45733.0</v>
      </c>
      <c r="I51" s="64">
        <v>5635.6</v>
      </c>
      <c r="J51" s="64">
        <v>5715.33</v>
      </c>
      <c r="K51" s="64">
        <v>5597.76</v>
      </c>
      <c r="L51" s="64">
        <v>5667.56</v>
      </c>
      <c r="M51" s="64">
        <v>5667.56</v>
      </c>
      <c r="N51" s="6">
        <v>2.840401E10</v>
      </c>
    </row>
    <row r="52">
      <c r="A52" s="18">
        <v>45726.0</v>
      </c>
      <c r="B52" s="64">
        <v>5638.94</v>
      </c>
      <c r="C52" s="65">
        <f t="shared" si="1"/>
        <v>-0.02274791168</v>
      </c>
      <c r="D52" s="4"/>
      <c r="H52" s="5">
        <v>45726.0</v>
      </c>
      <c r="I52" s="64">
        <v>5705.37</v>
      </c>
      <c r="J52" s="64">
        <v>5705.37</v>
      </c>
      <c r="K52" s="64">
        <v>5504.65</v>
      </c>
      <c r="L52" s="64">
        <v>5638.94</v>
      </c>
      <c r="M52" s="64">
        <v>5638.94</v>
      </c>
      <c r="N52" s="6">
        <v>2.77326E10</v>
      </c>
    </row>
    <row r="53">
      <c r="A53" s="18">
        <v>45719.0</v>
      </c>
      <c r="B53" s="64">
        <v>5770.2</v>
      </c>
      <c r="C53" s="65">
        <f t="shared" si="1"/>
        <v>-0.03095138131</v>
      </c>
      <c r="D53" s="4"/>
      <c r="H53" s="5">
        <v>45719.0</v>
      </c>
      <c r="I53" s="64">
        <v>5968.33</v>
      </c>
      <c r="J53" s="64">
        <v>5986.09</v>
      </c>
      <c r="K53" s="64">
        <v>5666.29</v>
      </c>
      <c r="L53" s="64">
        <v>5770.2</v>
      </c>
      <c r="M53" s="64">
        <v>5770.2</v>
      </c>
      <c r="N53" s="6">
        <v>2.790815E10</v>
      </c>
    </row>
    <row r="54">
      <c r="A54" s="18">
        <v>45712.0</v>
      </c>
      <c r="B54" s="64">
        <v>5954.5</v>
      </c>
      <c r="C54" s="65"/>
      <c r="D54" s="4"/>
      <c r="H54" s="5">
        <v>45712.0</v>
      </c>
      <c r="I54" s="64">
        <v>6026.69</v>
      </c>
      <c r="J54" s="64">
        <v>6043.65</v>
      </c>
      <c r="K54" s="64">
        <v>5837.66</v>
      </c>
      <c r="L54" s="64">
        <v>5954.5</v>
      </c>
      <c r="M54" s="64">
        <v>5954.5</v>
      </c>
      <c r="N54" s="6">
        <v>2.673321E10</v>
      </c>
    </row>
    <row r="55">
      <c r="A55" s="68"/>
      <c r="B55" s="69"/>
      <c r="C55" s="70"/>
      <c r="D5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25"/>
  </cols>
  <sheetData>
    <row r="1">
      <c r="A1" s="1" t="s">
        <v>0</v>
      </c>
      <c r="B1" s="71" t="s">
        <v>62</v>
      </c>
      <c r="C1" s="72" t="s">
        <v>63</v>
      </c>
      <c r="I1" s="73"/>
    </row>
    <row r="2">
      <c r="A2" s="18">
        <v>46076.0</v>
      </c>
      <c r="B2" s="19">
        <f>vlookup(A2,Combine!A3:D58,4,0)</f>
        <v>0</v>
      </c>
      <c r="C2" s="19">
        <f>VLOOKUP(A2,'S&amp;P500'!A1:C54,3,0)</f>
        <v>-0.002813513549</v>
      </c>
      <c r="G2" s="74" t="s">
        <v>64</v>
      </c>
      <c r="I2" s="75"/>
      <c r="J2" s="76"/>
      <c r="K2" s="76"/>
      <c r="L2" s="76"/>
      <c r="M2" s="76"/>
      <c r="N2" s="76"/>
      <c r="O2" s="76"/>
    </row>
    <row r="3">
      <c r="A3" s="18">
        <v>46069.0</v>
      </c>
      <c r="B3" s="19">
        <f>vlookup(A3,Combine!A4:D59,4,0)</f>
        <v>0</v>
      </c>
      <c r="C3" s="19">
        <f>VLOOKUP(A3,'S&amp;P500'!A1:C54,3,0)</f>
        <v>0.0107282294</v>
      </c>
      <c r="G3" s="77"/>
      <c r="H3" s="78"/>
      <c r="I3" s="75"/>
      <c r="J3" s="76"/>
      <c r="K3" s="76"/>
      <c r="L3" s="76"/>
      <c r="M3" s="76"/>
      <c r="N3" s="76"/>
      <c r="O3" s="76"/>
    </row>
    <row r="4">
      <c r="A4" s="18">
        <v>46062.0</v>
      </c>
      <c r="B4" s="19">
        <f>vlookup(A4,Combine!A5:D60,4,0)</f>
        <v>0.01485148515</v>
      </c>
      <c r="C4" s="19">
        <f>VLOOKUP(A4,'S&amp;P500'!A2:C55,3,0)</f>
        <v>-0.01386697056</v>
      </c>
      <c r="G4" s="79" t="s">
        <v>65</v>
      </c>
      <c r="H4" s="80"/>
      <c r="I4" s="75"/>
      <c r="J4" s="76"/>
      <c r="K4" s="76"/>
      <c r="L4" s="76"/>
      <c r="M4" s="76"/>
      <c r="N4" s="76"/>
      <c r="O4" s="76"/>
    </row>
    <row r="5">
      <c r="A5" s="18">
        <v>46055.0</v>
      </c>
      <c r="B5" s="19">
        <f>vlookup(A5,Combine!A6:D61,4,0)</f>
        <v>-0.01101591187</v>
      </c>
      <c r="C5" s="19">
        <f>VLOOKUP(A5,'S&amp;P500'!A3:C56,3,0)</f>
        <v>-0.0009698761931</v>
      </c>
      <c r="G5" s="74" t="s">
        <v>66</v>
      </c>
      <c r="H5" s="81">
        <v>0.108797</v>
      </c>
      <c r="I5" s="75"/>
      <c r="J5" s="76"/>
      <c r="K5" s="76"/>
      <c r="L5" s="76"/>
      <c r="M5" s="76"/>
      <c r="N5" s="76"/>
      <c r="O5" s="76"/>
    </row>
    <row r="6">
      <c r="A6" s="18">
        <v>46048.0</v>
      </c>
      <c r="B6" s="19">
        <f>vlookup(A6,Combine!A7:D62,4,0)</f>
        <v>-0.01209189843</v>
      </c>
      <c r="C6" s="19">
        <f>VLOOKUP(A6,'S&amp;P500'!A4:C57,3,0)</f>
        <v>0.003386541462</v>
      </c>
      <c r="G6" s="74" t="s">
        <v>67</v>
      </c>
      <c r="H6" s="81">
        <v>0.011837</v>
      </c>
      <c r="I6" s="75"/>
      <c r="J6" s="76"/>
      <c r="K6" s="76"/>
      <c r="L6" s="76"/>
      <c r="M6" s="76"/>
      <c r="N6" s="76"/>
      <c r="O6" s="76"/>
    </row>
    <row r="7">
      <c r="A7" s="18">
        <v>46041.0</v>
      </c>
      <c r="B7" s="19">
        <f>vlookup(A7,Combine!A8:D63,4,0)</f>
        <v>0.01223990208</v>
      </c>
      <c r="C7" s="19">
        <f>VLOOKUP(A7,'S&amp;P500'!A5:C58,3,0)</f>
        <v>-0.003515845078</v>
      </c>
      <c r="G7" s="74" t="s">
        <v>68</v>
      </c>
      <c r="H7" s="81">
        <v>-0.00793</v>
      </c>
      <c r="I7" s="75"/>
      <c r="J7" s="76"/>
      <c r="K7" s="76"/>
      <c r="L7" s="76"/>
      <c r="M7" s="76"/>
      <c r="N7" s="76"/>
      <c r="O7" s="76"/>
    </row>
    <row r="8">
      <c r="A8" s="18">
        <v>46034.0</v>
      </c>
      <c r="B8" s="19">
        <f>vlookup(A8,Combine!A9:D64,4,0)</f>
        <v>0.007398273736</v>
      </c>
      <c r="C8" s="19">
        <f>VLOOKUP(A8,'S&amp;P500'!A6:C59,3,0)</f>
        <v>-0.003771022698</v>
      </c>
      <c r="G8" s="74" t="s">
        <v>69</v>
      </c>
      <c r="H8" s="81">
        <v>0.025081</v>
      </c>
      <c r="I8" s="75"/>
      <c r="J8" s="76"/>
      <c r="K8" s="76"/>
      <c r="L8" s="76"/>
      <c r="M8" s="76"/>
      <c r="N8" s="76"/>
      <c r="O8" s="76"/>
    </row>
    <row r="9">
      <c r="A9" s="18">
        <v>46027.0</v>
      </c>
      <c r="B9" s="19">
        <f>vlookup(A9,Combine!A10:D65,4,0)</f>
        <v>-0.00612745098</v>
      </c>
      <c r="C9" s="19">
        <f>VLOOKUP(A9,'S&amp;P500'!A7:C60,3,0)</f>
        <v>0.01571924934</v>
      </c>
      <c r="G9" s="82" t="s">
        <v>70</v>
      </c>
      <c r="H9" s="83">
        <v>52.0</v>
      </c>
      <c r="I9" s="75"/>
      <c r="J9" s="76"/>
      <c r="K9" s="76"/>
      <c r="L9" s="76"/>
      <c r="M9" s="76"/>
      <c r="N9" s="76"/>
      <c r="O9" s="76"/>
    </row>
    <row r="10">
      <c r="A10" s="18">
        <v>46020.0</v>
      </c>
      <c r="B10" s="19">
        <f>vlookup(A10,Combine!A11:D66,4,0)</f>
        <v>-0.003663003663</v>
      </c>
      <c r="C10" s="19">
        <f>VLOOKUP(A10,'S&amp;P500'!A8:C61,3,0)</f>
        <v>-0.01031322061</v>
      </c>
      <c r="G10" s="77"/>
      <c r="H10" s="78"/>
      <c r="I10" s="75"/>
      <c r="J10" s="76"/>
      <c r="K10" s="76"/>
      <c r="L10" s="76"/>
      <c r="M10" s="76"/>
      <c r="N10" s="76"/>
      <c r="O10" s="76"/>
    </row>
    <row r="11">
      <c r="A11" s="18">
        <v>46013.0</v>
      </c>
      <c r="B11" s="19">
        <f>vlookup(A11,Combine!A12:D67,4,0)</f>
        <v>0</v>
      </c>
      <c r="C11" s="19">
        <f>VLOOKUP(A11,'S&amp;P500'!A9:C62,3,0)</f>
        <v>0.01396444509</v>
      </c>
      <c r="G11" s="74" t="s">
        <v>71</v>
      </c>
      <c r="J11" s="76"/>
      <c r="K11" s="76"/>
      <c r="L11" s="76"/>
      <c r="M11" s="76"/>
      <c r="N11" s="76"/>
      <c r="O11" s="76"/>
    </row>
    <row r="12">
      <c r="A12" s="18">
        <v>46006.0</v>
      </c>
      <c r="B12" s="19">
        <f>vlookup(A12,Combine!A13:D68,4,0)</f>
        <v>0.008620689655</v>
      </c>
      <c r="C12" s="19">
        <f>VLOOKUP(A12,'S&amp;P500'!A10:C63,3,0)</f>
        <v>0.001038461144</v>
      </c>
      <c r="G12" s="84"/>
      <c r="H12" s="85" t="s">
        <v>72</v>
      </c>
      <c r="I12" s="79" t="s">
        <v>73</v>
      </c>
      <c r="J12" s="79" t="s">
        <v>74</v>
      </c>
      <c r="K12" s="79" t="s">
        <v>75</v>
      </c>
      <c r="L12" s="79" t="s">
        <v>76</v>
      </c>
      <c r="M12" s="76"/>
      <c r="N12" s="76"/>
      <c r="O12" s="76"/>
    </row>
    <row r="13">
      <c r="A13" s="18">
        <v>45999.0</v>
      </c>
      <c r="B13" s="19">
        <f>vlookup(A13,Combine!A14:D69,4,0)</f>
        <v>-0.01575757576</v>
      </c>
      <c r="C13" s="19">
        <f>VLOOKUP(A13,'S&amp;P500'!A11:C64,3,0)</f>
        <v>-0.006257277597</v>
      </c>
      <c r="G13" s="74" t="s">
        <v>77</v>
      </c>
      <c r="H13" s="81">
        <v>1.0</v>
      </c>
      <c r="I13" s="86">
        <v>3.77E-4</v>
      </c>
      <c r="J13" s="86">
        <v>3.77E-4</v>
      </c>
      <c r="K13" s="86">
        <v>0.59893</v>
      </c>
      <c r="L13" s="86">
        <v>0.442631</v>
      </c>
      <c r="M13" s="76"/>
      <c r="N13" s="76"/>
      <c r="O13" s="76"/>
    </row>
    <row r="14">
      <c r="A14" s="18">
        <v>45992.0</v>
      </c>
      <c r="B14" s="19">
        <f>vlookup(A14,Combine!A15:D70,4,0)</f>
        <v>0.01600985222</v>
      </c>
      <c r="C14" s="19">
        <f>VLOOKUP(A14,'S&amp;P500'!A12:C65,3,0)</f>
        <v>0.003111362239</v>
      </c>
      <c r="G14" s="74" t="s">
        <v>78</v>
      </c>
      <c r="H14" s="81">
        <v>50.0</v>
      </c>
      <c r="I14" s="86">
        <v>0.031453</v>
      </c>
      <c r="J14" s="86">
        <v>6.29E-4</v>
      </c>
      <c r="K14" s="76"/>
      <c r="L14" s="76"/>
      <c r="M14" s="76"/>
      <c r="N14" s="76"/>
      <c r="O14" s="76"/>
    </row>
    <row r="15">
      <c r="A15" s="18">
        <v>45985.0</v>
      </c>
      <c r="B15" s="19">
        <f>vlookup(A15,Combine!A16:D71,4,0)</f>
        <v>0.00495049505</v>
      </c>
      <c r="C15" s="19">
        <f>VLOOKUP(A15,'S&amp;P500'!A13:C66,3,0)</f>
        <v>0.0372709939</v>
      </c>
      <c r="G15" s="82" t="s">
        <v>79</v>
      </c>
      <c r="H15" s="83">
        <v>51.0</v>
      </c>
      <c r="I15" s="87">
        <v>0.03183</v>
      </c>
      <c r="J15" s="88"/>
      <c r="K15" s="88"/>
      <c r="L15" s="88"/>
      <c r="M15" s="76"/>
      <c r="N15" s="76"/>
      <c r="O15" s="76"/>
    </row>
    <row r="16">
      <c r="A16" s="18">
        <v>45978.0</v>
      </c>
      <c r="B16" s="19">
        <f>vlookup(A16,Combine!A17:D72,4,0)</f>
        <v>-0.01703163017</v>
      </c>
      <c r="C16" s="19">
        <f>VLOOKUP(A16,'S&amp;P500'!A14:C67,3,0)</f>
        <v>-0.01947102141</v>
      </c>
      <c r="G16" s="77"/>
      <c r="H16" s="78"/>
      <c r="I16" s="75"/>
      <c r="J16" s="76"/>
      <c r="K16" s="76"/>
      <c r="L16" s="76"/>
      <c r="M16" s="76"/>
      <c r="N16" s="76"/>
      <c r="O16" s="76"/>
    </row>
    <row r="17">
      <c r="A17" s="18">
        <v>45971.0</v>
      </c>
      <c r="B17" s="19">
        <f>vlookup(A17,Combine!A18:D73,4,0)</f>
        <v>-0.004842615012</v>
      </c>
      <c r="C17" s="19">
        <f>VLOOKUP(A17,'S&amp;P500'!A15:C68,3,0)</f>
        <v>0.000789145167</v>
      </c>
      <c r="G17" s="84"/>
      <c r="H17" s="85" t="s">
        <v>80</v>
      </c>
      <c r="I17" s="79" t="s">
        <v>69</v>
      </c>
      <c r="J17" s="79" t="s">
        <v>81</v>
      </c>
      <c r="K17" s="79" t="s">
        <v>82</v>
      </c>
      <c r="L17" s="79" t="s">
        <v>83</v>
      </c>
      <c r="M17" s="79" t="s">
        <v>84</v>
      </c>
      <c r="N17" s="79" t="s">
        <v>85</v>
      </c>
      <c r="O17" s="79" t="s">
        <v>86</v>
      </c>
    </row>
    <row r="18">
      <c r="A18" s="18">
        <v>45964.0</v>
      </c>
      <c r="B18" s="19">
        <f>vlookup(A18,Combine!A19:D74,4,0)</f>
        <v>-0.01314217443</v>
      </c>
      <c r="C18" s="19">
        <f>VLOOKUP(A18,'S&amp;P500'!A16:C69,3,0)</f>
        <v>-0.01628607351</v>
      </c>
      <c r="G18" s="74" t="s">
        <v>87</v>
      </c>
      <c r="H18" s="81">
        <v>-0.00147</v>
      </c>
      <c r="I18" s="86">
        <v>0.003509</v>
      </c>
      <c r="J18" s="86">
        <v>-0.41904</v>
      </c>
      <c r="K18" s="86">
        <v>0.676983</v>
      </c>
      <c r="L18" s="86">
        <v>-0.00852</v>
      </c>
      <c r="M18" s="86">
        <v>0.005577</v>
      </c>
      <c r="N18" s="86">
        <v>-0.00852</v>
      </c>
      <c r="O18" s="86">
        <v>0.005577</v>
      </c>
    </row>
    <row r="19">
      <c r="A19" s="18">
        <v>45957.0</v>
      </c>
      <c r="B19" s="19">
        <f>vlookup(A19,Combine!A20:D75,4,0)</f>
        <v>-0.008293838863</v>
      </c>
      <c r="C19" s="19">
        <f>VLOOKUP(A19,'S&amp;P500'!A17:C70,3,0)</f>
        <v>0.007142552148</v>
      </c>
      <c r="G19" s="89" t="s">
        <v>88</v>
      </c>
      <c r="H19" s="83">
        <v>0.116397</v>
      </c>
      <c r="I19" s="87">
        <v>0.150402</v>
      </c>
      <c r="J19" s="87">
        <v>0.773906</v>
      </c>
      <c r="K19" s="87">
        <v>0.442631</v>
      </c>
      <c r="L19" s="87">
        <v>-0.18569</v>
      </c>
      <c r="M19" s="87">
        <v>0.418489</v>
      </c>
      <c r="N19" s="87">
        <v>-0.18569</v>
      </c>
      <c r="O19" s="87">
        <v>0.418489</v>
      </c>
    </row>
    <row r="20">
      <c r="A20" s="18">
        <v>45950.0</v>
      </c>
      <c r="B20" s="19">
        <f>vlookup(A20,Combine!A21:D76,4,0)</f>
        <v>-0.008225616921</v>
      </c>
      <c r="C20" s="19">
        <f>VLOOKUP(A20,'S&amp;P500'!A18:C71,3,0)</f>
        <v>0.01915963511</v>
      </c>
      <c r="G20" s="77"/>
      <c r="H20" s="78"/>
      <c r="I20" s="75"/>
      <c r="J20" s="76"/>
      <c r="K20" s="76"/>
      <c r="L20" s="76"/>
      <c r="M20" s="76"/>
      <c r="N20" s="76"/>
      <c r="O20" s="76"/>
    </row>
    <row r="21">
      <c r="A21" s="18">
        <v>45943.0</v>
      </c>
      <c r="B21" s="19">
        <f>vlookup(A21,Combine!A22:D77,4,0)</f>
        <v>-0.01390498262</v>
      </c>
      <c r="C21" s="19">
        <f>VLOOKUP(A21,'S&amp;P500'!A19:C72,3,0)</f>
        <v>0.01701637998</v>
      </c>
      <c r="G21" s="77"/>
      <c r="H21" s="78"/>
      <c r="I21" s="75"/>
      <c r="J21" s="76"/>
      <c r="K21" s="76"/>
      <c r="L21" s="76"/>
      <c r="M21" s="76"/>
      <c r="N21" s="76"/>
      <c r="O21" s="76"/>
    </row>
    <row r="22">
      <c r="A22" s="18">
        <v>45936.0</v>
      </c>
      <c r="B22" s="19">
        <f>vlookup(A22,Combine!A23:D78,4,0)</f>
        <v>-0.01371428571</v>
      </c>
      <c r="C22" s="19">
        <f>VLOOKUP(A22,'S&amp;P500'!A20:C73,3,0)</f>
        <v>-0.02431285076</v>
      </c>
      <c r="G22" s="77"/>
      <c r="H22" s="78"/>
      <c r="I22" s="75"/>
      <c r="J22" s="76"/>
      <c r="K22" s="76"/>
      <c r="L22" s="76"/>
      <c r="M22" s="76"/>
      <c r="N22" s="76"/>
      <c r="O22" s="76"/>
    </row>
    <row r="23">
      <c r="A23" s="18">
        <v>45929.0</v>
      </c>
      <c r="B23" s="19">
        <f>vlookup(A23,Combine!A24:D79,4,0)</f>
        <v>-0.01129943503</v>
      </c>
      <c r="C23" s="19">
        <f>VLOOKUP(A23,'S&amp;P500'!A21:C74,3,0)</f>
        <v>0.01085088129</v>
      </c>
      <c r="G23" s="18"/>
      <c r="H23" s="64"/>
      <c r="I23" s="90"/>
    </row>
    <row r="24">
      <c r="A24" s="18">
        <v>45922.0</v>
      </c>
      <c r="B24" s="19">
        <f>vlookup(A24,Combine!A25:D80,4,0)</f>
        <v>-0.02747252747</v>
      </c>
      <c r="C24" s="19">
        <f>VLOOKUP(A24,'S&amp;P500'!A22:C75,3,0)</f>
        <v>-0.003100072625</v>
      </c>
      <c r="G24" s="18"/>
      <c r="H24" s="64"/>
      <c r="I24" s="90"/>
    </row>
    <row r="25">
      <c r="A25" s="18">
        <v>45915.0</v>
      </c>
      <c r="B25" s="19">
        <f>vlookup(A25,Combine!A26:D81,4,0)</f>
        <v>0.01111111111</v>
      </c>
      <c r="C25" s="19">
        <f>VLOOKUP(A25,'S&amp;P500'!A23:C76,3,0)</f>
        <v>0.01216076449</v>
      </c>
      <c r="G25" s="18"/>
      <c r="H25" s="64"/>
      <c r="I25" s="90"/>
    </row>
    <row r="26">
      <c r="A26" s="18">
        <v>45908.0</v>
      </c>
      <c r="B26" s="19">
        <f>vlookup(A26,Combine!A27:D82,4,0)</f>
        <v>0.07142857143</v>
      </c>
      <c r="C26" s="19">
        <f>VLOOKUP(A26,'S&amp;P500'!A24:C77,3,0)</f>
        <v>0.01585898326</v>
      </c>
      <c r="G26" s="18"/>
      <c r="H26" s="64"/>
      <c r="I26" s="90"/>
    </row>
    <row r="27">
      <c r="A27" s="18">
        <v>45901.0</v>
      </c>
      <c r="B27" s="19">
        <f>vlookup(A27,Combine!A28:D83,4,0)</f>
        <v>0.0447761194</v>
      </c>
      <c r="C27" s="19">
        <f>VLOOKUP(A27,'S&amp;P500'!A25:C78,3,0)</f>
        <v>0.003287793371</v>
      </c>
      <c r="G27" s="18"/>
      <c r="H27" s="64"/>
      <c r="I27" s="90"/>
    </row>
    <row r="28">
      <c r="A28" s="18">
        <v>45894.0</v>
      </c>
      <c r="B28" s="19">
        <f>vlookup(A28,Combine!A29:D84,4,0)</f>
        <v>0.001245330012</v>
      </c>
      <c r="C28" s="19">
        <f>VLOOKUP(A28,'S&amp;P500'!A26:C79,3,0)</f>
        <v>-0.001028311821</v>
      </c>
      <c r="G28" s="18"/>
      <c r="H28" s="64"/>
      <c r="I28" s="90"/>
    </row>
    <row r="29">
      <c r="A29" s="18">
        <v>45887.0</v>
      </c>
      <c r="B29" s="19">
        <f>vlookup(A29,Combine!A30:D85,4,0)</f>
        <v>0.02292993631</v>
      </c>
      <c r="C29" s="19">
        <f>VLOOKUP(A29,'S&amp;P500'!A27:C80,3,0)</f>
        <v>0.002652795436</v>
      </c>
      <c r="G29" s="18"/>
      <c r="H29" s="64"/>
      <c r="I29" s="90"/>
    </row>
    <row r="30">
      <c r="A30" s="18">
        <v>45880.0</v>
      </c>
      <c r="B30" s="19">
        <f>vlookup(A30,Combine!A31:D86,4,0)</f>
        <v>0.0142118863</v>
      </c>
      <c r="C30" s="19">
        <f>VLOOKUP(A30,'S&amp;P500'!A28:C81,3,0)</f>
        <v>0.009445257417</v>
      </c>
      <c r="G30" s="18"/>
      <c r="H30" s="64"/>
      <c r="I30" s="90"/>
    </row>
    <row r="31">
      <c r="A31" s="18">
        <v>45873.0</v>
      </c>
      <c r="B31" s="19">
        <f>vlookup(A31,Combine!A32:D87,4,0)</f>
        <v>0.07053941909</v>
      </c>
      <c r="C31" s="19">
        <f>VLOOKUP(A31,'S&amp;P500'!A29:C82,3,0)</f>
        <v>0.02427697294</v>
      </c>
      <c r="G31" s="18"/>
      <c r="H31" s="64"/>
      <c r="I31" s="90"/>
    </row>
    <row r="32">
      <c r="A32" s="18">
        <v>45866.0</v>
      </c>
      <c r="B32" s="19">
        <f>vlookup(A32,Combine!A33:D88,4,0)</f>
        <v>-0.050558109</v>
      </c>
      <c r="C32" s="19">
        <f>VLOOKUP(A32,'S&amp;P500'!A30:C83,3,0)</f>
        <v>-0.02357778807</v>
      </c>
      <c r="G32" s="18"/>
      <c r="H32" s="64"/>
      <c r="I32" s="90"/>
    </row>
    <row r="33">
      <c r="A33" s="18">
        <v>45859.0</v>
      </c>
      <c r="B33" s="19">
        <f>vlookup(A33,Combine!A34:D89,4,0)</f>
        <v>-0.004965373056</v>
      </c>
      <c r="C33" s="19">
        <f>VLOOKUP(A33,'S&amp;P500'!A31:C84,3,0)</f>
        <v>0.0145867974</v>
      </c>
      <c r="G33" s="18"/>
      <c r="H33" s="64"/>
      <c r="I33" s="90"/>
    </row>
    <row r="34">
      <c r="A34" s="18">
        <v>45852.0</v>
      </c>
      <c r="B34" s="19">
        <f>vlookup(A34,Combine!A35:D90,4,0)</f>
        <v>0.009897070467</v>
      </c>
      <c r="C34" s="19">
        <f>VLOOKUP(A34,'S&amp;P500'!A32:C85,3,0)</f>
        <v>0.005917169216</v>
      </c>
      <c r="G34" s="18"/>
      <c r="H34" s="64"/>
      <c r="I34" s="90"/>
    </row>
    <row r="35">
      <c r="A35" s="18">
        <v>45845.0</v>
      </c>
      <c r="B35" s="19">
        <f>vlookup(A35,Combine!A36:D91,4,0)</f>
        <v>0.01636266094</v>
      </c>
      <c r="C35" s="19">
        <f>VLOOKUP(A35,'S&amp;P500'!A33:C86,3,0)</f>
        <v>-0.003121342177</v>
      </c>
      <c r="G35" s="18"/>
      <c r="H35" s="64"/>
      <c r="I35" s="90"/>
    </row>
    <row r="36">
      <c r="A36" s="18">
        <v>45838.0</v>
      </c>
      <c r="B36" s="19">
        <f>vlookup(A36,Combine!A37:D92,4,0)</f>
        <v>-0.002408348943</v>
      </c>
      <c r="C36" s="19">
        <f>VLOOKUP(A36,'S&amp;P500'!A34:C87,3,0)</f>
        <v>0.01721671713</v>
      </c>
      <c r="G36" s="18"/>
      <c r="H36" s="64"/>
      <c r="I36" s="90"/>
    </row>
    <row r="37">
      <c r="A37" s="18">
        <v>45831.0</v>
      </c>
      <c r="B37" s="19">
        <f>vlookup(A37,Combine!A38:D93,4,0)</f>
        <v>0.007549204637</v>
      </c>
      <c r="C37" s="19">
        <f>VLOOKUP(A37,'S&amp;P500'!A35:C88,3,0)</f>
        <v>0.03438932679</v>
      </c>
      <c r="G37" s="18"/>
      <c r="H37" s="64"/>
      <c r="I37" s="90"/>
    </row>
    <row r="38">
      <c r="A38" s="18">
        <v>45824.0</v>
      </c>
      <c r="B38" s="19">
        <f>vlookup(A38,Combine!A39:D94,4,0)</f>
        <v>-0.007492641156</v>
      </c>
      <c r="C38" s="19">
        <f>VLOOKUP(A38,'S&amp;P500'!A36:C89,3,0)</f>
        <v>-0.001527529835</v>
      </c>
      <c r="G38" s="18"/>
      <c r="H38" s="64"/>
      <c r="I38" s="90"/>
    </row>
    <row r="39">
      <c r="A39" s="18">
        <v>45817.0</v>
      </c>
      <c r="B39" s="19">
        <f>vlookup(A39,Combine!A40:D95,4,0)</f>
        <v>-0.01242071882</v>
      </c>
      <c r="C39" s="19">
        <f>VLOOKUP(A39,'S&amp;P500'!A37:C90,3,0)</f>
        <v>-0.003898099447</v>
      </c>
      <c r="G39" s="18"/>
      <c r="H39" s="64"/>
      <c r="I39" s="90"/>
    </row>
    <row r="40">
      <c r="A40" s="18">
        <v>45810.0</v>
      </c>
      <c r="B40" s="19">
        <f>vlookup(A40,Combine!A41:D96,4,0)</f>
        <v>-0.001319609396</v>
      </c>
      <c r="C40" s="19">
        <f>VLOOKUP(A40,'S&amp;P500'!A38:C91,3,0)</f>
        <v>0.01499909501</v>
      </c>
      <c r="G40" s="18"/>
      <c r="H40" s="64"/>
      <c r="I40" s="90"/>
    </row>
    <row r="41">
      <c r="A41" s="18">
        <v>45803.0</v>
      </c>
      <c r="B41" s="19">
        <f>vlookup(A41,Combine!A42:D97,4,0)</f>
        <v>0</v>
      </c>
      <c r="C41" s="19">
        <f>VLOOKUP(A41,'S&amp;P500'!A39:C92,3,0)</f>
        <v>0.01876156765</v>
      </c>
      <c r="G41" s="18"/>
      <c r="H41" s="64"/>
      <c r="I41" s="90"/>
    </row>
    <row r="42">
      <c r="A42" s="18">
        <v>45796.0</v>
      </c>
      <c r="B42" s="19">
        <f>vlookup(A42,Combine!A43:D98,4,0)</f>
        <v>0</v>
      </c>
      <c r="C42" s="19">
        <f>VLOOKUP(A42,'S&amp;P500'!A40:C93,3,0)</f>
        <v>-0.02610776755</v>
      </c>
      <c r="G42" s="18"/>
      <c r="H42" s="64"/>
      <c r="I42" s="90"/>
    </row>
    <row r="43">
      <c r="A43" s="18">
        <v>45789.0</v>
      </c>
      <c r="B43" s="19">
        <f>vlookup(A43,Combine!A44:D99,4,0)</f>
        <v>0.005039787798</v>
      </c>
      <c r="C43" s="19">
        <f>VLOOKUP(A43,'S&amp;P500'!A41:C94,3,0)</f>
        <v>0.05273405408</v>
      </c>
      <c r="G43" s="18"/>
      <c r="H43" s="64"/>
      <c r="I43" s="90"/>
    </row>
    <row r="44">
      <c r="A44" s="18">
        <v>45782.0</v>
      </c>
      <c r="B44" s="19">
        <f>vlookup(A44,Combine!A45:D100,4,0)</f>
        <v>-0.06740878169</v>
      </c>
      <c r="C44" s="19">
        <f>VLOOKUP(A44,'S&amp;P500'!A42:C95,3,0)</f>
        <v>-0.004705741673</v>
      </c>
      <c r="G44" s="18"/>
      <c r="H44" s="64"/>
      <c r="I44" s="90"/>
    </row>
    <row r="45">
      <c r="A45" s="18">
        <v>45775.0</v>
      </c>
      <c r="B45" s="19">
        <f>vlookup(A45,Combine!A46:D101,4,0)</f>
        <v>0.02497464503</v>
      </c>
      <c r="C45" s="19">
        <f>VLOOKUP(A45,'S&amp;P500'!A43:C96,3,0)</f>
        <v>0.0292224187</v>
      </c>
      <c r="G45" s="18"/>
      <c r="H45" s="64"/>
      <c r="I45" s="90"/>
    </row>
    <row r="46">
      <c r="A46" s="18">
        <v>45768.0</v>
      </c>
      <c r="B46" s="19">
        <f>vlookup(A46,Combine!A47:D102,4,0)</f>
        <v>0.002414538061</v>
      </c>
      <c r="C46" s="19">
        <f>VLOOKUP(A46,'S&amp;P500'!A44:C97,3,0)</f>
        <v>0.04590644935</v>
      </c>
      <c r="G46" s="18"/>
      <c r="H46" s="64"/>
      <c r="I46" s="90"/>
    </row>
    <row r="47">
      <c r="A47" s="18">
        <v>45761.0</v>
      </c>
      <c r="B47" s="19">
        <f>vlookup(A47,Combine!A48:D103,4,0)</f>
        <v>0.01091983556</v>
      </c>
      <c r="C47" s="19">
        <f>VLOOKUP(A47,'S&amp;P500'!A45:C98,3,0)</f>
        <v>-0.01503907998</v>
      </c>
      <c r="G47" s="18"/>
      <c r="H47" s="64"/>
      <c r="I47" s="90"/>
    </row>
    <row r="48">
      <c r="A48" s="18">
        <v>45754.0</v>
      </c>
      <c r="B48" s="19">
        <f>vlookup(A48,Combine!A49:D104,4,0)</f>
        <v>-0.08196721311</v>
      </c>
      <c r="C48" s="19">
        <f>VLOOKUP(A48,'S&amp;P500'!A46:C99,3,0)</f>
        <v>0.05701132028</v>
      </c>
      <c r="G48" s="18"/>
      <c r="H48" s="64"/>
      <c r="I48" s="90"/>
    </row>
    <row r="49">
      <c r="A49" s="18">
        <v>45747.0</v>
      </c>
      <c r="B49" s="19">
        <f>vlookup(A49,Combine!A50:D105,4,0)</f>
        <v>-0.007723815097</v>
      </c>
      <c r="C49" s="19">
        <f>VLOOKUP(A49,'S&amp;P500'!A47:C100,3,0)</f>
        <v>-0.09081982605</v>
      </c>
      <c r="G49" s="18"/>
      <c r="H49" s="64"/>
      <c r="I49" s="90"/>
    </row>
    <row r="50">
      <c r="A50" s="18">
        <v>45740.0</v>
      </c>
      <c r="B50" s="19">
        <f>vlookup(A50,Combine!A51:D106,4,0)</f>
        <v>-0.01509912402</v>
      </c>
      <c r="C50" s="19">
        <f>VLOOKUP(A50,'S&amp;P500'!A48:C101,3,0)</f>
        <v>-0.01528347296</v>
      </c>
      <c r="G50" s="18"/>
      <c r="H50" s="64"/>
      <c r="I50" s="90"/>
    </row>
    <row r="51">
      <c r="A51" s="18">
        <v>45733.0</v>
      </c>
      <c r="B51" s="19">
        <f>vlookup(A51,Combine!A52:D107,4,0)</f>
        <v>0.001038421599</v>
      </c>
      <c r="C51" s="19">
        <f>VLOOKUP(A51,'S&amp;P500'!A49:C102,3,0)</f>
        <v>0.005075421976</v>
      </c>
      <c r="G51" s="18"/>
      <c r="H51" s="64"/>
      <c r="I51" s="90"/>
    </row>
    <row r="52">
      <c r="A52" s="18">
        <v>45726.0</v>
      </c>
      <c r="B52" s="19">
        <f>vlookup(A52,Combine!A53:D108,4,0)</f>
        <v>-0.01174458381</v>
      </c>
      <c r="C52" s="19">
        <f>VLOOKUP(A52,'S&amp;P500'!A50:C103,3,0)</f>
        <v>-0.02274791168</v>
      </c>
      <c r="G52" s="18"/>
      <c r="H52" s="64"/>
      <c r="I52" s="90"/>
    </row>
    <row r="53">
      <c r="A53" s="18">
        <v>45719.0</v>
      </c>
      <c r="B53" s="19">
        <f>vlookup(A53,Combine!A54:D109,4,0)</f>
        <v>-0.006457460066</v>
      </c>
      <c r="C53" s="19">
        <f>VLOOKUP(A53,'S&amp;P500'!A51:C104,3,0)</f>
        <v>-0.03095138131</v>
      </c>
      <c r="G53" s="18"/>
      <c r="H53" s="64"/>
      <c r="I53" s="90"/>
    </row>
    <row r="54">
      <c r="G54" s="18"/>
      <c r="H54" s="64"/>
      <c r="I54" s="90"/>
    </row>
    <row r="55">
      <c r="I55" s="91"/>
    </row>
    <row r="56">
      <c r="A56" s="18"/>
      <c r="I56" s="91"/>
    </row>
    <row r="57">
      <c r="I57" s="91"/>
    </row>
    <row r="58">
      <c r="I58" s="91"/>
    </row>
    <row r="59">
      <c r="I59" s="91"/>
    </row>
    <row r="60">
      <c r="I60" s="91"/>
    </row>
    <row r="61">
      <c r="I61" s="91"/>
    </row>
    <row r="62">
      <c r="I62" s="91"/>
    </row>
    <row r="63">
      <c r="I63" s="91"/>
    </row>
    <row r="64">
      <c r="I64" s="91"/>
    </row>
    <row r="65">
      <c r="I65" s="91"/>
    </row>
    <row r="66">
      <c r="I66" s="91"/>
    </row>
    <row r="67">
      <c r="I67" s="91"/>
    </row>
    <row r="68">
      <c r="I68" s="91"/>
    </row>
    <row r="69">
      <c r="I69" s="91"/>
    </row>
    <row r="70">
      <c r="I70" s="91"/>
    </row>
    <row r="71">
      <c r="I71" s="91"/>
    </row>
    <row r="72">
      <c r="I72" s="91"/>
    </row>
    <row r="73">
      <c r="I73" s="91"/>
    </row>
    <row r="74">
      <c r="I74" s="91"/>
    </row>
    <row r="75">
      <c r="I75" s="91"/>
    </row>
    <row r="76">
      <c r="I76" s="91"/>
    </row>
    <row r="77">
      <c r="I77" s="91"/>
    </row>
    <row r="78">
      <c r="I78" s="91"/>
    </row>
    <row r="79">
      <c r="I79" s="91"/>
    </row>
    <row r="80">
      <c r="I80" s="91"/>
    </row>
    <row r="81">
      <c r="I81" s="91"/>
    </row>
    <row r="82">
      <c r="I82" s="91"/>
    </row>
    <row r="83">
      <c r="I83" s="91"/>
    </row>
    <row r="84">
      <c r="I84" s="91"/>
    </row>
    <row r="85">
      <c r="I85" s="91"/>
    </row>
    <row r="86">
      <c r="I86" s="91"/>
    </row>
    <row r="87">
      <c r="I87" s="91"/>
    </row>
    <row r="88">
      <c r="I88" s="91"/>
    </row>
    <row r="89">
      <c r="I89" s="91"/>
    </row>
    <row r="90">
      <c r="I90" s="91"/>
    </row>
    <row r="91">
      <c r="I91" s="91"/>
    </row>
    <row r="92">
      <c r="I92" s="91"/>
    </row>
    <row r="93">
      <c r="I93" s="91"/>
    </row>
    <row r="94">
      <c r="I94" s="91"/>
    </row>
    <row r="95">
      <c r="I95" s="91"/>
    </row>
    <row r="96">
      <c r="I96" s="91"/>
    </row>
    <row r="97">
      <c r="I97" s="91"/>
    </row>
    <row r="98">
      <c r="I98" s="91"/>
    </row>
    <row r="99">
      <c r="I99" s="91"/>
    </row>
    <row r="100">
      <c r="I100" s="91"/>
    </row>
    <row r="101">
      <c r="I101" s="91"/>
    </row>
    <row r="102">
      <c r="I102" s="91"/>
    </row>
    <row r="103">
      <c r="I103" s="91"/>
    </row>
    <row r="104">
      <c r="I104" s="91"/>
    </row>
    <row r="105">
      <c r="I105" s="91"/>
    </row>
    <row r="106">
      <c r="I106" s="91"/>
    </row>
    <row r="107">
      <c r="I107" s="91"/>
    </row>
    <row r="108">
      <c r="I108" s="91"/>
    </row>
    <row r="109">
      <c r="I109" s="91"/>
    </row>
    <row r="110">
      <c r="I110" s="91"/>
    </row>
    <row r="111">
      <c r="I111" s="91"/>
    </row>
    <row r="112">
      <c r="I112" s="91"/>
    </row>
    <row r="113">
      <c r="I113" s="91"/>
    </row>
    <row r="114">
      <c r="I114" s="91"/>
    </row>
    <row r="115">
      <c r="I115" s="91"/>
    </row>
    <row r="116">
      <c r="I116" s="91"/>
    </row>
    <row r="117">
      <c r="I117" s="91"/>
    </row>
    <row r="118">
      <c r="I118" s="91"/>
    </row>
    <row r="119">
      <c r="I119" s="91"/>
    </row>
    <row r="120">
      <c r="I120" s="91"/>
    </row>
    <row r="121">
      <c r="I121" s="91"/>
    </row>
    <row r="122">
      <c r="I122" s="91"/>
    </row>
    <row r="123">
      <c r="I123" s="91"/>
    </row>
    <row r="124">
      <c r="I124" s="91"/>
    </row>
    <row r="125">
      <c r="I125" s="91"/>
    </row>
    <row r="126">
      <c r="I126" s="91"/>
    </row>
    <row r="127">
      <c r="I127" s="91"/>
    </row>
    <row r="128">
      <c r="I128" s="91"/>
    </row>
    <row r="129">
      <c r="I129" s="91"/>
    </row>
    <row r="130">
      <c r="I130" s="91"/>
    </row>
    <row r="131">
      <c r="I131" s="91"/>
    </row>
    <row r="132">
      <c r="I132" s="91"/>
    </row>
    <row r="133">
      <c r="I133" s="91"/>
    </row>
    <row r="134">
      <c r="I134" s="91"/>
    </row>
    <row r="135">
      <c r="I135" s="91"/>
    </row>
    <row r="136">
      <c r="I136" s="91"/>
    </row>
    <row r="137">
      <c r="I137" s="91"/>
    </row>
    <row r="138">
      <c r="I138" s="91"/>
    </row>
    <row r="139">
      <c r="I139" s="91"/>
    </row>
    <row r="140">
      <c r="I140" s="91"/>
    </row>
    <row r="141">
      <c r="I141" s="91"/>
    </row>
    <row r="142">
      <c r="I142" s="91"/>
    </row>
    <row r="143">
      <c r="I143" s="91"/>
    </row>
    <row r="144">
      <c r="I144" s="91"/>
    </row>
    <row r="145">
      <c r="I145" s="91"/>
    </row>
    <row r="146">
      <c r="I146" s="91"/>
    </row>
    <row r="147">
      <c r="I147" s="91"/>
    </row>
    <row r="148">
      <c r="I148" s="91"/>
    </row>
    <row r="149">
      <c r="I149" s="91"/>
    </row>
    <row r="150">
      <c r="I150" s="91"/>
    </row>
    <row r="151">
      <c r="I151" s="91"/>
    </row>
    <row r="152">
      <c r="I152" s="91"/>
    </row>
    <row r="153">
      <c r="I153" s="91"/>
    </row>
    <row r="154">
      <c r="I154" s="91"/>
    </row>
    <row r="155">
      <c r="I155" s="91"/>
    </row>
    <row r="156">
      <c r="I156" s="91"/>
    </row>
    <row r="157">
      <c r="I157" s="91"/>
    </row>
    <row r="158">
      <c r="I158" s="91"/>
    </row>
    <row r="159">
      <c r="I159" s="91"/>
    </row>
    <row r="160">
      <c r="I160" s="91"/>
    </row>
    <row r="161">
      <c r="I161" s="91"/>
    </row>
    <row r="162">
      <c r="I162" s="91"/>
    </row>
    <row r="163">
      <c r="I163" s="91"/>
    </row>
    <row r="164">
      <c r="I164" s="91"/>
    </row>
    <row r="165">
      <c r="I165" s="91"/>
    </row>
    <row r="166">
      <c r="I166" s="91"/>
    </row>
    <row r="167">
      <c r="I167" s="91"/>
    </row>
    <row r="168">
      <c r="I168" s="91"/>
    </row>
    <row r="169">
      <c r="I169" s="91"/>
    </row>
    <row r="170">
      <c r="I170" s="91"/>
    </row>
    <row r="171">
      <c r="I171" s="91"/>
    </row>
    <row r="172">
      <c r="I172" s="91"/>
    </row>
    <row r="173">
      <c r="I173" s="91"/>
    </row>
    <row r="174">
      <c r="I174" s="91"/>
    </row>
    <row r="175">
      <c r="I175" s="91"/>
    </row>
    <row r="176">
      <c r="I176" s="91"/>
    </row>
    <row r="177">
      <c r="I177" s="91"/>
    </row>
    <row r="178">
      <c r="I178" s="91"/>
    </row>
    <row r="179">
      <c r="I179" s="91"/>
    </row>
    <row r="180">
      <c r="I180" s="91"/>
    </row>
    <row r="181">
      <c r="I181" s="91"/>
    </row>
    <row r="182">
      <c r="I182" s="91"/>
    </row>
    <row r="183">
      <c r="I183" s="91"/>
    </row>
    <row r="184">
      <c r="I184" s="91"/>
    </row>
    <row r="185">
      <c r="I185" s="91"/>
    </row>
    <row r="186">
      <c r="I186" s="91"/>
    </row>
    <row r="187">
      <c r="I187" s="91"/>
    </row>
    <row r="188">
      <c r="I188" s="91"/>
    </row>
    <row r="189">
      <c r="I189" s="91"/>
    </row>
    <row r="190">
      <c r="I190" s="91"/>
    </row>
    <row r="191">
      <c r="I191" s="91"/>
    </row>
    <row r="192">
      <c r="I192" s="91"/>
    </row>
    <row r="193">
      <c r="I193" s="91"/>
    </row>
    <row r="194">
      <c r="I194" s="91"/>
    </row>
    <row r="195">
      <c r="I195" s="91"/>
    </row>
    <row r="196">
      <c r="I196" s="91"/>
    </row>
    <row r="197">
      <c r="I197" s="91"/>
    </row>
    <row r="198">
      <c r="I198" s="91"/>
    </row>
    <row r="199">
      <c r="I199" s="91"/>
    </row>
    <row r="200">
      <c r="I200" s="91"/>
    </row>
    <row r="201">
      <c r="I201" s="91"/>
    </row>
    <row r="202">
      <c r="I202" s="91"/>
    </row>
    <row r="203">
      <c r="I203" s="91"/>
    </row>
    <row r="204">
      <c r="I204" s="91"/>
    </row>
    <row r="205">
      <c r="I205" s="91"/>
    </row>
    <row r="206">
      <c r="I206" s="91"/>
    </row>
    <row r="207">
      <c r="I207" s="91"/>
    </row>
    <row r="208">
      <c r="I208" s="91"/>
    </row>
    <row r="209">
      <c r="I209" s="91"/>
    </row>
    <row r="210">
      <c r="I210" s="91"/>
    </row>
    <row r="211">
      <c r="I211" s="91"/>
    </row>
    <row r="212">
      <c r="I212" s="91"/>
    </row>
    <row r="213">
      <c r="I213" s="91"/>
    </row>
    <row r="214">
      <c r="I214" s="91"/>
    </row>
    <row r="215">
      <c r="I215" s="91"/>
    </row>
    <row r="216">
      <c r="I216" s="91"/>
    </row>
    <row r="217">
      <c r="I217" s="91"/>
    </row>
    <row r="218">
      <c r="I218" s="91"/>
    </row>
    <row r="219">
      <c r="I219" s="91"/>
    </row>
    <row r="220">
      <c r="I220" s="91"/>
    </row>
    <row r="221">
      <c r="I221" s="91"/>
    </row>
    <row r="222">
      <c r="I222" s="91"/>
    </row>
    <row r="223">
      <c r="I223" s="91"/>
    </row>
    <row r="224">
      <c r="I224" s="91"/>
    </row>
    <row r="225">
      <c r="I225" s="91"/>
    </row>
    <row r="226">
      <c r="I226" s="91"/>
    </row>
    <row r="227">
      <c r="I227" s="91"/>
    </row>
    <row r="228">
      <c r="I228" s="91"/>
    </row>
    <row r="229">
      <c r="I229" s="91"/>
    </row>
    <row r="230">
      <c r="I230" s="91"/>
    </row>
    <row r="231">
      <c r="I231" s="91"/>
    </row>
    <row r="232">
      <c r="I232" s="91"/>
    </row>
    <row r="233">
      <c r="I233" s="91"/>
    </row>
    <row r="234">
      <c r="I234" s="91"/>
    </row>
    <row r="235">
      <c r="I235" s="91"/>
    </row>
    <row r="236">
      <c r="I236" s="91"/>
    </row>
    <row r="237">
      <c r="I237" s="91"/>
    </row>
    <row r="238">
      <c r="I238" s="91"/>
    </row>
    <row r="239">
      <c r="I239" s="91"/>
    </row>
    <row r="240">
      <c r="I240" s="91"/>
    </row>
    <row r="241">
      <c r="I241" s="91"/>
    </row>
    <row r="242">
      <c r="I242" s="91"/>
    </row>
    <row r="243">
      <c r="I243" s="91"/>
    </row>
    <row r="244">
      <c r="I244" s="91"/>
    </row>
    <row r="245">
      <c r="I245" s="91"/>
    </row>
    <row r="246">
      <c r="I246" s="91"/>
    </row>
    <row r="247">
      <c r="I247" s="91"/>
    </row>
    <row r="248">
      <c r="I248" s="91"/>
    </row>
    <row r="249">
      <c r="I249" s="91"/>
    </row>
    <row r="250">
      <c r="I250" s="91"/>
    </row>
    <row r="251">
      <c r="I251" s="91"/>
    </row>
    <row r="252">
      <c r="I252" s="91"/>
    </row>
    <row r="253">
      <c r="I253" s="91"/>
    </row>
    <row r="254">
      <c r="I254" s="91"/>
    </row>
    <row r="255">
      <c r="I255" s="91"/>
    </row>
    <row r="256">
      <c r="I256" s="91"/>
    </row>
    <row r="257">
      <c r="I257" s="91"/>
    </row>
    <row r="258">
      <c r="I258" s="91"/>
    </row>
    <row r="259">
      <c r="I259" s="91"/>
    </row>
    <row r="260">
      <c r="I260" s="91"/>
    </row>
    <row r="261">
      <c r="I261" s="91"/>
    </row>
    <row r="262">
      <c r="I262" s="91"/>
    </row>
    <row r="263">
      <c r="I263" s="91"/>
    </row>
    <row r="264">
      <c r="I264" s="91"/>
    </row>
    <row r="265">
      <c r="I265" s="91"/>
    </row>
    <row r="266">
      <c r="I266" s="91"/>
    </row>
    <row r="267">
      <c r="I267" s="91"/>
    </row>
    <row r="268">
      <c r="I268" s="91"/>
    </row>
    <row r="269">
      <c r="I269" s="91"/>
    </row>
    <row r="270">
      <c r="I270" s="91"/>
    </row>
    <row r="271">
      <c r="I271" s="91"/>
    </row>
    <row r="272">
      <c r="I272" s="91"/>
    </row>
    <row r="273">
      <c r="I273" s="91"/>
    </row>
    <row r="274">
      <c r="I274" s="91"/>
    </row>
    <row r="275">
      <c r="I275" s="91"/>
    </row>
    <row r="276">
      <c r="I276" s="91"/>
    </row>
    <row r="277">
      <c r="I277" s="91"/>
    </row>
    <row r="278">
      <c r="I278" s="91"/>
    </row>
    <row r="279">
      <c r="I279" s="91"/>
    </row>
    <row r="280">
      <c r="I280" s="91"/>
    </row>
    <row r="281">
      <c r="I281" s="91"/>
    </row>
    <row r="282">
      <c r="I282" s="91"/>
    </row>
    <row r="283">
      <c r="I283" s="91"/>
    </row>
    <row r="284">
      <c r="I284" s="91"/>
    </row>
    <row r="285">
      <c r="I285" s="91"/>
    </row>
    <row r="286">
      <c r="I286" s="91"/>
    </row>
    <row r="287">
      <c r="I287" s="91"/>
    </row>
    <row r="288">
      <c r="I288" s="91"/>
    </row>
    <row r="289">
      <c r="I289" s="91"/>
    </row>
    <row r="290">
      <c r="I290" s="91"/>
    </row>
    <row r="291">
      <c r="I291" s="91"/>
    </row>
    <row r="292">
      <c r="I292" s="91"/>
    </row>
    <row r="293">
      <c r="I293" s="91"/>
    </row>
    <row r="294">
      <c r="I294" s="91"/>
    </row>
    <row r="295">
      <c r="I295" s="91"/>
    </row>
    <row r="296">
      <c r="I296" s="91"/>
    </row>
    <row r="297">
      <c r="I297" s="91"/>
    </row>
    <row r="298">
      <c r="I298" s="91"/>
    </row>
    <row r="299">
      <c r="I299" s="91"/>
    </row>
    <row r="300">
      <c r="I300" s="91"/>
    </row>
    <row r="301">
      <c r="I301" s="91"/>
    </row>
    <row r="302">
      <c r="I302" s="91"/>
    </row>
    <row r="303">
      <c r="I303" s="91"/>
    </row>
    <row r="304">
      <c r="I304" s="91"/>
    </row>
    <row r="305">
      <c r="I305" s="91"/>
    </row>
    <row r="306">
      <c r="I306" s="91"/>
    </row>
    <row r="307">
      <c r="I307" s="91"/>
    </row>
    <row r="308">
      <c r="I308" s="91"/>
    </row>
    <row r="309">
      <c r="I309" s="91"/>
    </row>
    <row r="310">
      <c r="I310" s="91"/>
    </row>
    <row r="311">
      <c r="I311" s="91"/>
    </row>
    <row r="312">
      <c r="I312" s="91"/>
    </row>
    <row r="313">
      <c r="I313" s="91"/>
    </row>
    <row r="314">
      <c r="I314" s="91"/>
    </row>
    <row r="315">
      <c r="I315" s="91"/>
    </row>
    <row r="316">
      <c r="I316" s="91"/>
    </row>
    <row r="317">
      <c r="I317" s="91"/>
    </row>
    <row r="318">
      <c r="I318" s="91"/>
    </row>
    <row r="319">
      <c r="I319" s="91"/>
    </row>
    <row r="320">
      <c r="I320" s="91"/>
    </row>
    <row r="321">
      <c r="I321" s="91"/>
    </row>
    <row r="322">
      <c r="I322" s="91"/>
    </row>
    <row r="323">
      <c r="I323" s="91"/>
    </row>
    <row r="324">
      <c r="I324" s="91"/>
    </row>
    <row r="325">
      <c r="I325" s="91"/>
    </row>
    <row r="326">
      <c r="I326" s="91"/>
    </row>
    <row r="327">
      <c r="I327" s="91"/>
    </row>
    <row r="328">
      <c r="I328" s="91"/>
    </row>
    <row r="329">
      <c r="I329" s="91"/>
    </row>
    <row r="330">
      <c r="I330" s="91"/>
    </row>
    <row r="331">
      <c r="I331" s="91"/>
    </row>
    <row r="332">
      <c r="I332" s="91"/>
    </row>
    <row r="333">
      <c r="I333" s="91"/>
    </row>
    <row r="334">
      <c r="I334" s="91"/>
    </row>
    <row r="335">
      <c r="I335" s="91"/>
    </row>
    <row r="336">
      <c r="I336" s="91"/>
    </row>
    <row r="337">
      <c r="I337" s="91"/>
    </row>
    <row r="338">
      <c r="I338" s="91"/>
    </row>
    <row r="339">
      <c r="I339" s="91"/>
    </row>
    <row r="340">
      <c r="I340" s="91"/>
    </row>
    <row r="341">
      <c r="I341" s="91"/>
    </row>
    <row r="342">
      <c r="I342" s="91"/>
    </row>
    <row r="343">
      <c r="I343" s="91"/>
    </row>
    <row r="344">
      <c r="I344" s="91"/>
    </row>
    <row r="345">
      <c r="I345" s="91"/>
    </row>
    <row r="346">
      <c r="I346" s="91"/>
    </row>
    <row r="347">
      <c r="I347" s="91"/>
    </row>
    <row r="348">
      <c r="I348" s="91"/>
    </row>
    <row r="349">
      <c r="I349" s="91"/>
    </row>
    <row r="350">
      <c r="I350" s="91"/>
    </row>
    <row r="351">
      <c r="I351" s="91"/>
    </row>
    <row r="352">
      <c r="I352" s="91"/>
    </row>
    <row r="353">
      <c r="I353" s="91"/>
    </row>
    <row r="354">
      <c r="I354" s="91"/>
    </row>
    <row r="355">
      <c r="I355" s="91"/>
    </row>
    <row r="356">
      <c r="I356" s="91"/>
    </row>
    <row r="357">
      <c r="I357" s="91"/>
    </row>
    <row r="358">
      <c r="I358" s="91"/>
    </row>
    <row r="359">
      <c r="I359" s="91"/>
    </row>
    <row r="360">
      <c r="I360" s="91"/>
    </row>
    <row r="361">
      <c r="I361" s="91"/>
    </row>
    <row r="362">
      <c r="I362" s="91"/>
    </row>
    <row r="363">
      <c r="I363" s="91"/>
    </row>
    <row r="364">
      <c r="I364" s="91"/>
    </row>
    <row r="365">
      <c r="I365" s="91"/>
    </row>
    <row r="366">
      <c r="I366" s="91"/>
    </row>
    <row r="367">
      <c r="I367" s="91"/>
    </row>
    <row r="368">
      <c r="I368" s="91"/>
    </row>
    <row r="369">
      <c r="I369" s="91"/>
    </row>
    <row r="370">
      <c r="I370" s="91"/>
    </row>
    <row r="371">
      <c r="I371" s="91"/>
    </row>
    <row r="372">
      <c r="I372" s="91"/>
    </row>
    <row r="373">
      <c r="I373" s="91"/>
    </row>
    <row r="374">
      <c r="I374" s="91"/>
    </row>
    <row r="375">
      <c r="I375" s="91"/>
    </row>
    <row r="376">
      <c r="I376" s="91"/>
    </row>
    <row r="377">
      <c r="I377" s="91"/>
    </row>
    <row r="378">
      <c r="I378" s="91"/>
    </row>
    <row r="379">
      <c r="I379" s="91"/>
    </row>
    <row r="380">
      <c r="I380" s="91"/>
    </row>
    <row r="381">
      <c r="I381" s="91"/>
    </row>
    <row r="382">
      <c r="I382" s="91"/>
    </row>
    <row r="383">
      <c r="I383" s="91"/>
    </row>
    <row r="384">
      <c r="I384" s="91"/>
    </row>
    <row r="385">
      <c r="I385" s="91"/>
    </row>
    <row r="386">
      <c r="I386" s="91"/>
    </row>
    <row r="387">
      <c r="I387" s="91"/>
    </row>
    <row r="388">
      <c r="I388" s="91"/>
    </row>
    <row r="389">
      <c r="I389" s="91"/>
    </row>
    <row r="390">
      <c r="I390" s="91"/>
    </row>
    <row r="391">
      <c r="I391" s="91"/>
    </row>
    <row r="392">
      <c r="I392" s="91"/>
    </row>
    <row r="393">
      <c r="I393" s="91"/>
    </row>
    <row r="394">
      <c r="I394" s="91"/>
    </row>
    <row r="395">
      <c r="I395" s="91"/>
    </row>
    <row r="396">
      <c r="I396" s="91"/>
    </row>
    <row r="397">
      <c r="I397" s="91"/>
    </row>
    <row r="398">
      <c r="I398" s="91"/>
    </row>
    <row r="399">
      <c r="I399" s="91"/>
    </row>
    <row r="400">
      <c r="I400" s="91"/>
    </row>
    <row r="401">
      <c r="I401" s="91"/>
    </row>
    <row r="402">
      <c r="I402" s="91"/>
    </row>
    <row r="403">
      <c r="I403" s="91"/>
    </row>
    <row r="404">
      <c r="I404" s="91"/>
    </row>
    <row r="405">
      <c r="I405" s="91"/>
    </row>
    <row r="406">
      <c r="I406" s="91"/>
    </row>
    <row r="407">
      <c r="I407" s="91"/>
    </row>
    <row r="408">
      <c r="I408" s="91"/>
    </row>
    <row r="409">
      <c r="I409" s="91"/>
    </row>
    <row r="410">
      <c r="I410" s="91"/>
    </row>
    <row r="411">
      <c r="I411" s="91"/>
    </row>
    <row r="412">
      <c r="I412" s="91"/>
    </row>
    <row r="413">
      <c r="I413" s="91"/>
    </row>
    <row r="414">
      <c r="I414" s="91"/>
    </row>
    <row r="415">
      <c r="I415" s="91"/>
    </row>
    <row r="416">
      <c r="I416" s="91"/>
    </row>
    <row r="417">
      <c r="I417" s="91"/>
    </row>
    <row r="418">
      <c r="I418" s="91"/>
    </row>
    <row r="419">
      <c r="I419" s="91"/>
    </row>
    <row r="420">
      <c r="I420" s="91"/>
    </row>
    <row r="421">
      <c r="I421" s="91"/>
    </row>
    <row r="422">
      <c r="I422" s="91"/>
    </row>
    <row r="423">
      <c r="I423" s="91"/>
    </row>
    <row r="424">
      <c r="I424" s="91"/>
    </row>
    <row r="425">
      <c r="I425" s="91"/>
    </row>
    <row r="426">
      <c r="I426" s="91"/>
    </row>
    <row r="427">
      <c r="I427" s="91"/>
    </row>
    <row r="428">
      <c r="I428" s="91"/>
    </row>
    <row r="429">
      <c r="I429" s="91"/>
    </row>
    <row r="430">
      <c r="I430" s="91"/>
    </row>
    <row r="431">
      <c r="I431" s="91"/>
    </row>
    <row r="432">
      <c r="I432" s="91"/>
    </row>
    <row r="433">
      <c r="I433" s="91"/>
    </row>
    <row r="434">
      <c r="I434" s="91"/>
    </row>
    <row r="435">
      <c r="I435" s="91"/>
    </row>
    <row r="436">
      <c r="I436" s="91"/>
    </row>
    <row r="437">
      <c r="I437" s="91"/>
    </row>
    <row r="438">
      <c r="I438" s="91"/>
    </row>
    <row r="439">
      <c r="I439" s="91"/>
    </row>
    <row r="440">
      <c r="I440" s="91"/>
    </row>
    <row r="441">
      <c r="I441" s="91"/>
    </row>
    <row r="442">
      <c r="I442" s="91"/>
    </row>
    <row r="443">
      <c r="I443" s="91"/>
    </row>
    <row r="444">
      <c r="I444" s="91"/>
    </row>
    <row r="445">
      <c r="I445" s="91"/>
    </row>
    <row r="446">
      <c r="I446" s="91"/>
    </row>
    <row r="447">
      <c r="I447" s="91"/>
    </row>
    <row r="448">
      <c r="I448" s="91"/>
    </row>
    <row r="449">
      <c r="I449" s="91"/>
    </row>
    <row r="450">
      <c r="I450" s="91"/>
    </row>
    <row r="451">
      <c r="I451" s="91"/>
    </row>
    <row r="452">
      <c r="I452" s="91"/>
    </row>
    <row r="453">
      <c r="I453" s="91"/>
    </row>
    <row r="454">
      <c r="I454" s="91"/>
    </row>
    <row r="455">
      <c r="I455" s="91"/>
    </row>
    <row r="456">
      <c r="I456" s="91"/>
    </row>
    <row r="457">
      <c r="I457" s="91"/>
    </row>
    <row r="458">
      <c r="I458" s="91"/>
    </row>
    <row r="459">
      <c r="I459" s="91"/>
    </row>
    <row r="460">
      <c r="I460" s="91"/>
    </row>
    <row r="461">
      <c r="I461" s="91"/>
    </row>
    <row r="462">
      <c r="I462" s="91"/>
    </row>
    <row r="463">
      <c r="I463" s="91"/>
    </row>
    <row r="464">
      <c r="I464" s="91"/>
    </row>
    <row r="465">
      <c r="I465" s="91"/>
    </row>
    <row r="466">
      <c r="I466" s="91"/>
    </row>
    <row r="467">
      <c r="I467" s="91"/>
    </row>
    <row r="468">
      <c r="I468" s="91"/>
    </row>
    <row r="469">
      <c r="I469" s="91"/>
    </row>
    <row r="470">
      <c r="I470" s="91"/>
    </row>
    <row r="471">
      <c r="I471" s="91"/>
    </row>
    <row r="472">
      <c r="I472" s="91"/>
    </row>
    <row r="473">
      <c r="I473" s="91"/>
    </row>
    <row r="474">
      <c r="I474" s="91"/>
    </row>
    <row r="475">
      <c r="I475" s="91"/>
    </row>
    <row r="476">
      <c r="I476" s="91"/>
    </row>
    <row r="477">
      <c r="I477" s="91"/>
    </row>
    <row r="478">
      <c r="I478" s="91"/>
    </row>
    <row r="479">
      <c r="I479" s="91"/>
    </row>
    <row r="480">
      <c r="I480" s="91"/>
    </row>
    <row r="481">
      <c r="I481" s="91"/>
    </row>
    <row r="482">
      <c r="I482" s="91"/>
    </row>
    <row r="483">
      <c r="I483" s="91"/>
    </row>
    <row r="484">
      <c r="I484" s="91"/>
    </row>
    <row r="485">
      <c r="I485" s="91"/>
    </row>
    <row r="486">
      <c r="I486" s="91"/>
    </row>
    <row r="487">
      <c r="I487" s="91"/>
    </row>
    <row r="488">
      <c r="I488" s="91"/>
    </row>
    <row r="489">
      <c r="I489" s="91"/>
    </row>
    <row r="490">
      <c r="I490" s="91"/>
    </row>
    <row r="491">
      <c r="I491" s="91"/>
    </row>
    <row r="492">
      <c r="I492" s="91"/>
    </row>
    <row r="493">
      <c r="I493" s="91"/>
    </row>
    <row r="494">
      <c r="I494" s="91"/>
    </row>
    <row r="495">
      <c r="I495" s="91"/>
    </row>
    <row r="496">
      <c r="I496" s="91"/>
    </row>
    <row r="497">
      <c r="I497" s="91"/>
    </row>
    <row r="498">
      <c r="I498" s="91"/>
    </row>
    <row r="499">
      <c r="I499" s="91"/>
    </row>
    <row r="500">
      <c r="I500" s="91"/>
    </row>
    <row r="501">
      <c r="I501" s="91"/>
    </row>
    <row r="502">
      <c r="I502" s="91"/>
    </row>
    <row r="503">
      <c r="I503" s="91"/>
    </row>
    <row r="504">
      <c r="I504" s="91"/>
    </row>
    <row r="505">
      <c r="I505" s="91"/>
    </row>
    <row r="506">
      <c r="I506" s="91"/>
    </row>
    <row r="507">
      <c r="I507" s="91"/>
    </row>
    <row r="508">
      <c r="I508" s="91"/>
    </row>
    <row r="509">
      <c r="I509" s="91"/>
    </row>
    <row r="510">
      <c r="I510" s="91"/>
    </row>
    <row r="511">
      <c r="I511" s="91"/>
    </row>
    <row r="512">
      <c r="I512" s="91"/>
    </row>
    <row r="513">
      <c r="I513" s="91"/>
    </row>
    <row r="514">
      <c r="I514" s="91"/>
    </row>
    <row r="515">
      <c r="I515" s="91"/>
    </row>
    <row r="516">
      <c r="I516" s="91"/>
    </row>
    <row r="517">
      <c r="I517" s="91"/>
    </row>
    <row r="518">
      <c r="I518" s="91"/>
    </row>
    <row r="519">
      <c r="I519" s="91"/>
    </row>
    <row r="520">
      <c r="I520" s="91"/>
    </row>
    <row r="521">
      <c r="I521" s="91"/>
    </row>
    <row r="522">
      <c r="I522" s="91"/>
    </row>
    <row r="523">
      <c r="I523" s="91"/>
    </row>
    <row r="524">
      <c r="I524" s="91"/>
    </row>
    <row r="525">
      <c r="I525" s="91"/>
    </row>
    <row r="526">
      <c r="I526" s="91"/>
    </row>
    <row r="527">
      <c r="I527" s="91"/>
    </row>
    <row r="528">
      <c r="I528" s="91"/>
    </row>
    <row r="529">
      <c r="I529" s="91"/>
    </row>
    <row r="530">
      <c r="I530" s="91"/>
    </row>
    <row r="531">
      <c r="I531" s="91"/>
    </row>
    <row r="532">
      <c r="I532" s="91"/>
    </row>
    <row r="533">
      <c r="I533" s="91"/>
    </row>
    <row r="534">
      <c r="I534" s="91"/>
    </row>
    <row r="535">
      <c r="I535" s="91"/>
    </row>
    <row r="536">
      <c r="I536" s="91"/>
    </row>
    <row r="537">
      <c r="I537" s="91"/>
    </row>
    <row r="538">
      <c r="I538" s="91"/>
    </row>
    <row r="539">
      <c r="I539" s="91"/>
    </row>
    <row r="540">
      <c r="I540" s="91"/>
    </row>
    <row r="541">
      <c r="I541" s="91"/>
    </row>
    <row r="542">
      <c r="I542" s="91"/>
    </row>
    <row r="543">
      <c r="I543" s="91"/>
    </row>
    <row r="544">
      <c r="I544" s="91"/>
    </row>
    <row r="545">
      <c r="I545" s="91"/>
    </row>
    <row r="546">
      <c r="I546" s="91"/>
    </row>
    <row r="547">
      <c r="I547" s="91"/>
    </row>
    <row r="548">
      <c r="I548" s="91"/>
    </row>
    <row r="549">
      <c r="I549" s="91"/>
    </row>
    <row r="550">
      <c r="I550" s="91"/>
    </row>
    <row r="551">
      <c r="I551" s="91"/>
    </row>
    <row r="552">
      <c r="I552" s="91"/>
    </row>
    <row r="553">
      <c r="I553" s="91"/>
    </row>
    <row r="554">
      <c r="I554" s="91"/>
    </row>
    <row r="555">
      <c r="I555" s="91"/>
    </row>
    <row r="556">
      <c r="I556" s="91"/>
    </row>
    <row r="557">
      <c r="I557" s="91"/>
    </row>
    <row r="558">
      <c r="I558" s="91"/>
    </row>
    <row r="559">
      <c r="I559" s="91"/>
    </row>
    <row r="560">
      <c r="I560" s="91"/>
    </row>
    <row r="561">
      <c r="I561" s="91"/>
    </row>
    <row r="562">
      <c r="I562" s="91"/>
    </row>
    <row r="563">
      <c r="I563" s="91"/>
    </row>
    <row r="564">
      <c r="I564" s="91"/>
    </row>
    <row r="565">
      <c r="I565" s="91"/>
    </row>
    <row r="566">
      <c r="I566" s="91"/>
    </row>
    <row r="567">
      <c r="I567" s="91"/>
    </row>
    <row r="568">
      <c r="I568" s="91"/>
    </row>
    <row r="569">
      <c r="I569" s="91"/>
    </row>
    <row r="570">
      <c r="I570" s="91"/>
    </row>
    <row r="571">
      <c r="I571" s="91"/>
    </row>
    <row r="572">
      <c r="I572" s="91"/>
    </row>
    <row r="573">
      <c r="I573" s="91"/>
    </row>
    <row r="574">
      <c r="I574" s="91"/>
    </row>
    <row r="575">
      <c r="I575" s="91"/>
    </row>
    <row r="576">
      <c r="I576" s="91"/>
    </row>
    <row r="577">
      <c r="I577" s="91"/>
    </row>
    <row r="578">
      <c r="I578" s="91"/>
    </row>
    <row r="579">
      <c r="I579" s="91"/>
    </row>
    <row r="580">
      <c r="I580" s="91"/>
    </row>
    <row r="581">
      <c r="I581" s="91"/>
    </row>
    <row r="582">
      <c r="I582" s="91"/>
    </row>
    <row r="583">
      <c r="I583" s="91"/>
    </row>
    <row r="584">
      <c r="I584" s="91"/>
    </row>
    <row r="585">
      <c r="I585" s="91"/>
    </row>
    <row r="586">
      <c r="I586" s="91"/>
    </row>
    <row r="587">
      <c r="I587" s="91"/>
    </row>
    <row r="588">
      <c r="I588" s="91"/>
    </row>
    <row r="589">
      <c r="I589" s="91"/>
    </row>
    <row r="590">
      <c r="I590" s="91"/>
    </row>
    <row r="591">
      <c r="I591" s="91"/>
    </row>
    <row r="592">
      <c r="I592" s="91"/>
    </row>
    <row r="593">
      <c r="I593" s="91"/>
    </row>
    <row r="594">
      <c r="I594" s="91"/>
    </row>
    <row r="595">
      <c r="I595" s="91"/>
    </row>
    <row r="596">
      <c r="I596" s="91"/>
    </row>
    <row r="597">
      <c r="I597" s="91"/>
    </row>
    <row r="598">
      <c r="I598" s="91"/>
    </row>
    <row r="599">
      <c r="I599" s="91"/>
    </row>
    <row r="600">
      <c r="I600" s="91"/>
    </row>
    <row r="601">
      <c r="I601" s="91"/>
    </row>
    <row r="602">
      <c r="I602" s="91"/>
    </row>
    <row r="603">
      <c r="I603" s="91"/>
    </row>
    <row r="604">
      <c r="I604" s="91"/>
    </row>
    <row r="605">
      <c r="I605" s="91"/>
    </row>
    <row r="606">
      <c r="I606" s="91"/>
    </row>
    <row r="607">
      <c r="I607" s="91"/>
    </row>
    <row r="608">
      <c r="I608" s="91"/>
    </row>
    <row r="609">
      <c r="I609" s="91"/>
    </row>
    <row r="610">
      <c r="I610" s="91"/>
    </row>
    <row r="611">
      <c r="I611" s="91"/>
    </row>
    <row r="612">
      <c r="I612" s="91"/>
    </row>
    <row r="613">
      <c r="I613" s="91"/>
    </row>
    <row r="614">
      <c r="I614" s="91"/>
    </row>
    <row r="615">
      <c r="I615" s="91"/>
    </row>
    <row r="616">
      <c r="I616" s="91"/>
    </row>
    <row r="617">
      <c r="I617" s="91"/>
    </row>
    <row r="618">
      <c r="I618" s="91"/>
    </row>
    <row r="619">
      <c r="I619" s="91"/>
    </row>
    <row r="620">
      <c r="I620" s="91"/>
    </row>
    <row r="621">
      <c r="I621" s="91"/>
    </row>
    <row r="622">
      <c r="I622" s="91"/>
    </row>
    <row r="623">
      <c r="I623" s="91"/>
    </row>
    <row r="624">
      <c r="I624" s="91"/>
    </row>
    <row r="625">
      <c r="I625" s="91"/>
    </row>
    <row r="626">
      <c r="I626" s="91"/>
    </row>
    <row r="627">
      <c r="I627" s="91"/>
    </row>
    <row r="628">
      <c r="I628" s="91"/>
    </row>
    <row r="629">
      <c r="I629" s="91"/>
    </row>
    <row r="630">
      <c r="I630" s="91"/>
    </row>
    <row r="631">
      <c r="I631" s="91"/>
    </row>
    <row r="632">
      <c r="I632" s="91"/>
    </row>
    <row r="633">
      <c r="I633" s="91"/>
    </row>
    <row r="634">
      <c r="I634" s="91"/>
    </row>
    <row r="635">
      <c r="I635" s="91"/>
    </row>
    <row r="636">
      <c r="I636" s="91"/>
    </row>
    <row r="637">
      <c r="I637" s="91"/>
    </row>
    <row r="638">
      <c r="I638" s="91"/>
    </row>
    <row r="639">
      <c r="I639" s="91"/>
    </row>
    <row r="640">
      <c r="I640" s="91"/>
    </row>
    <row r="641">
      <c r="I641" s="91"/>
    </row>
    <row r="642">
      <c r="I642" s="91"/>
    </row>
    <row r="643">
      <c r="I643" s="91"/>
    </row>
    <row r="644">
      <c r="I644" s="91"/>
    </row>
    <row r="645">
      <c r="I645" s="91"/>
    </row>
    <row r="646">
      <c r="I646" s="91"/>
    </row>
    <row r="647">
      <c r="I647" s="91"/>
    </row>
    <row r="648">
      <c r="I648" s="91"/>
    </row>
    <row r="649">
      <c r="I649" s="91"/>
    </row>
    <row r="650">
      <c r="I650" s="91"/>
    </row>
    <row r="651">
      <c r="I651" s="91"/>
    </row>
    <row r="652">
      <c r="I652" s="91"/>
    </row>
    <row r="653">
      <c r="I653" s="91"/>
    </row>
    <row r="654">
      <c r="I654" s="91"/>
    </row>
    <row r="655">
      <c r="I655" s="91"/>
    </row>
    <row r="656">
      <c r="I656" s="91"/>
    </row>
    <row r="657">
      <c r="I657" s="91"/>
    </row>
    <row r="658">
      <c r="I658" s="91"/>
    </row>
    <row r="659">
      <c r="I659" s="91"/>
    </row>
    <row r="660">
      <c r="I660" s="91"/>
    </row>
    <row r="661">
      <c r="I661" s="91"/>
    </row>
    <row r="662">
      <c r="I662" s="91"/>
    </row>
    <row r="663">
      <c r="I663" s="91"/>
    </row>
    <row r="664">
      <c r="I664" s="91"/>
    </row>
    <row r="665">
      <c r="I665" s="91"/>
    </row>
    <row r="666">
      <c r="I666" s="91"/>
    </row>
    <row r="667">
      <c r="I667" s="91"/>
    </row>
    <row r="668">
      <c r="I668" s="91"/>
    </row>
    <row r="669">
      <c r="I669" s="91"/>
    </row>
    <row r="670">
      <c r="I670" s="91"/>
    </row>
    <row r="671">
      <c r="I671" s="91"/>
    </row>
    <row r="672">
      <c r="I672" s="91"/>
    </row>
    <row r="673">
      <c r="I673" s="91"/>
    </row>
    <row r="674">
      <c r="I674" s="91"/>
    </row>
    <row r="675">
      <c r="I675" s="91"/>
    </row>
    <row r="676">
      <c r="I676" s="91"/>
    </row>
    <row r="677">
      <c r="I677" s="91"/>
    </row>
    <row r="678">
      <c r="I678" s="91"/>
    </row>
    <row r="679">
      <c r="I679" s="91"/>
    </row>
    <row r="680">
      <c r="I680" s="91"/>
    </row>
    <row r="681">
      <c r="I681" s="91"/>
    </row>
    <row r="682">
      <c r="I682" s="91"/>
    </row>
    <row r="683">
      <c r="I683" s="91"/>
    </row>
    <row r="684">
      <c r="I684" s="91"/>
    </row>
    <row r="685">
      <c r="I685" s="91"/>
    </row>
    <row r="686">
      <c r="I686" s="91"/>
    </row>
    <row r="687">
      <c r="I687" s="91"/>
    </row>
    <row r="688">
      <c r="I688" s="91"/>
    </row>
    <row r="689">
      <c r="I689" s="91"/>
    </row>
    <row r="690">
      <c r="I690" s="91"/>
    </row>
    <row r="691">
      <c r="I691" s="91"/>
    </row>
    <row r="692">
      <c r="I692" s="91"/>
    </row>
    <row r="693">
      <c r="I693" s="91"/>
    </row>
    <row r="694">
      <c r="I694" s="91"/>
    </row>
    <row r="695">
      <c r="I695" s="91"/>
    </row>
    <row r="696">
      <c r="I696" s="91"/>
    </row>
    <row r="697">
      <c r="I697" s="91"/>
    </row>
    <row r="698">
      <c r="I698" s="91"/>
    </row>
    <row r="699">
      <c r="I699" s="91"/>
    </row>
    <row r="700">
      <c r="I700" s="91"/>
    </row>
    <row r="701">
      <c r="I701" s="91"/>
    </row>
    <row r="702">
      <c r="I702" s="91"/>
    </row>
    <row r="703">
      <c r="I703" s="91"/>
    </row>
    <row r="704">
      <c r="I704" s="91"/>
    </row>
    <row r="705">
      <c r="I705" s="91"/>
    </row>
    <row r="706">
      <c r="I706" s="91"/>
    </row>
    <row r="707">
      <c r="I707" s="91"/>
    </row>
    <row r="708">
      <c r="I708" s="91"/>
    </row>
    <row r="709">
      <c r="I709" s="91"/>
    </row>
    <row r="710">
      <c r="I710" s="91"/>
    </row>
    <row r="711">
      <c r="I711" s="91"/>
    </row>
    <row r="712">
      <c r="I712" s="91"/>
    </row>
    <row r="713">
      <c r="I713" s="91"/>
    </row>
    <row r="714">
      <c r="I714" s="91"/>
    </row>
    <row r="715">
      <c r="I715" s="91"/>
    </row>
    <row r="716">
      <c r="I716" s="91"/>
    </row>
    <row r="717">
      <c r="I717" s="91"/>
    </row>
    <row r="718">
      <c r="I718" s="91"/>
    </row>
    <row r="719">
      <c r="I719" s="91"/>
    </row>
    <row r="720">
      <c r="I720" s="91"/>
    </row>
    <row r="721">
      <c r="I721" s="91"/>
    </row>
    <row r="722">
      <c r="I722" s="91"/>
    </row>
    <row r="723">
      <c r="I723" s="91"/>
    </row>
    <row r="724">
      <c r="I724" s="91"/>
    </row>
    <row r="725">
      <c r="I725" s="91"/>
    </row>
    <row r="726">
      <c r="I726" s="91"/>
    </row>
    <row r="727">
      <c r="I727" s="91"/>
    </row>
    <row r="728">
      <c r="I728" s="91"/>
    </row>
    <row r="729">
      <c r="I729" s="91"/>
    </row>
    <row r="730">
      <c r="I730" s="91"/>
    </row>
    <row r="731">
      <c r="I731" s="91"/>
    </row>
    <row r="732">
      <c r="I732" s="91"/>
    </row>
    <row r="733">
      <c r="I733" s="91"/>
    </row>
    <row r="734">
      <c r="I734" s="91"/>
    </row>
    <row r="735">
      <c r="I735" s="91"/>
    </row>
    <row r="736">
      <c r="I736" s="91"/>
    </row>
    <row r="737">
      <c r="I737" s="91"/>
    </row>
    <row r="738">
      <c r="I738" s="91"/>
    </row>
    <row r="739">
      <c r="I739" s="91"/>
    </row>
    <row r="740">
      <c r="I740" s="91"/>
    </row>
    <row r="741">
      <c r="I741" s="91"/>
    </row>
    <row r="742">
      <c r="I742" s="91"/>
    </row>
    <row r="743">
      <c r="I743" s="91"/>
    </row>
    <row r="744">
      <c r="I744" s="91"/>
    </row>
    <row r="745">
      <c r="I745" s="91"/>
    </row>
    <row r="746">
      <c r="I746" s="91"/>
    </row>
    <row r="747">
      <c r="I747" s="91"/>
    </row>
    <row r="748">
      <c r="I748" s="91"/>
    </row>
    <row r="749">
      <c r="I749" s="91"/>
    </row>
    <row r="750">
      <c r="I750" s="91"/>
    </row>
    <row r="751">
      <c r="I751" s="91"/>
    </row>
    <row r="752">
      <c r="I752" s="91"/>
    </row>
    <row r="753">
      <c r="I753" s="91"/>
    </row>
    <row r="754">
      <c r="I754" s="91"/>
    </row>
    <row r="755">
      <c r="I755" s="91"/>
    </row>
    <row r="756">
      <c r="I756" s="91"/>
    </row>
    <row r="757">
      <c r="I757" s="91"/>
    </row>
    <row r="758">
      <c r="I758" s="91"/>
    </row>
    <row r="759">
      <c r="I759" s="91"/>
    </row>
    <row r="760">
      <c r="I760" s="91"/>
    </row>
    <row r="761">
      <c r="I761" s="91"/>
    </row>
    <row r="762">
      <c r="I762" s="91"/>
    </row>
    <row r="763">
      <c r="I763" s="91"/>
    </row>
    <row r="764">
      <c r="I764" s="91"/>
    </row>
    <row r="765">
      <c r="I765" s="91"/>
    </row>
    <row r="766">
      <c r="I766" s="91"/>
    </row>
    <row r="767">
      <c r="I767" s="91"/>
    </row>
    <row r="768">
      <c r="I768" s="91"/>
    </row>
    <row r="769">
      <c r="I769" s="91"/>
    </row>
    <row r="770">
      <c r="I770" s="91"/>
    </row>
    <row r="771">
      <c r="I771" s="91"/>
    </row>
    <row r="772">
      <c r="I772" s="91"/>
    </row>
    <row r="773">
      <c r="I773" s="91"/>
    </row>
    <row r="774">
      <c r="I774" s="91"/>
    </row>
    <row r="775">
      <c r="I775" s="91"/>
    </row>
    <row r="776">
      <c r="I776" s="91"/>
    </row>
    <row r="777">
      <c r="I777" s="91"/>
    </row>
    <row r="778">
      <c r="I778" s="91"/>
    </row>
    <row r="779">
      <c r="I779" s="91"/>
    </row>
    <row r="780">
      <c r="I780" s="91"/>
    </row>
    <row r="781">
      <c r="I781" s="91"/>
    </row>
    <row r="782">
      <c r="I782" s="91"/>
    </row>
    <row r="783">
      <c r="I783" s="91"/>
    </row>
    <row r="784">
      <c r="I784" s="91"/>
    </row>
    <row r="785">
      <c r="I785" s="91"/>
    </row>
    <row r="786">
      <c r="I786" s="91"/>
    </row>
    <row r="787">
      <c r="I787" s="91"/>
    </row>
    <row r="788">
      <c r="I788" s="91"/>
    </row>
    <row r="789">
      <c r="I789" s="91"/>
    </row>
    <row r="790">
      <c r="I790" s="91"/>
    </row>
    <row r="791">
      <c r="I791" s="91"/>
    </row>
    <row r="792">
      <c r="I792" s="91"/>
    </row>
    <row r="793">
      <c r="I793" s="91"/>
    </row>
    <row r="794">
      <c r="I794" s="91"/>
    </row>
    <row r="795">
      <c r="I795" s="91"/>
    </row>
    <row r="796">
      <c r="I796" s="91"/>
    </row>
    <row r="797">
      <c r="I797" s="91"/>
    </row>
    <row r="798">
      <c r="I798" s="91"/>
    </row>
    <row r="799">
      <c r="I799" s="91"/>
    </row>
    <row r="800">
      <c r="I800" s="91"/>
    </row>
    <row r="801">
      <c r="I801" s="91"/>
    </row>
    <row r="802">
      <c r="I802" s="91"/>
    </row>
    <row r="803">
      <c r="I803" s="91"/>
    </row>
    <row r="804">
      <c r="I804" s="91"/>
    </row>
    <row r="805">
      <c r="I805" s="91"/>
    </row>
    <row r="806">
      <c r="I806" s="91"/>
    </row>
    <row r="807">
      <c r="I807" s="91"/>
    </row>
    <row r="808">
      <c r="I808" s="91"/>
    </row>
    <row r="809">
      <c r="I809" s="91"/>
    </row>
    <row r="810">
      <c r="I810" s="91"/>
    </row>
    <row r="811">
      <c r="I811" s="91"/>
    </row>
    <row r="812">
      <c r="I812" s="91"/>
    </row>
    <row r="813">
      <c r="I813" s="91"/>
    </row>
    <row r="814">
      <c r="I814" s="91"/>
    </row>
    <row r="815">
      <c r="I815" s="91"/>
    </row>
    <row r="816">
      <c r="I816" s="91"/>
    </row>
    <row r="817">
      <c r="I817" s="91"/>
    </row>
    <row r="818">
      <c r="I818" s="91"/>
    </row>
    <row r="819">
      <c r="I819" s="91"/>
    </row>
    <row r="820">
      <c r="I820" s="91"/>
    </row>
    <row r="821">
      <c r="I821" s="91"/>
    </row>
    <row r="822">
      <c r="I822" s="91"/>
    </row>
    <row r="823">
      <c r="I823" s="91"/>
    </row>
    <row r="824">
      <c r="I824" s="91"/>
    </row>
    <row r="825">
      <c r="I825" s="91"/>
    </row>
    <row r="826">
      <c r="I826" s="91"/>
    </row>
    <row r="827">
      <c r="I827" s="91"/>
    </row>
    <row r="828">
      <c r="I828" s="91"/>
    </row>
    <row r="829">
      <c r="I829" s="91"/>
    </row>
    <row r="830">
      <c r="I830" s="91"/>
    </row>
    <row r="831">
      <c r="I831" s="91"/>
    </row>
    <row r="832">
      <c r="I832" s="91"/>
    </row>
    <row r="833">
      <c r="I833" s="91"/>
    </row>
    <row r="834">
      <c r="I834" s="91"/>
    </row>
    <row r="835">
      <c r="I835" s="91"/>
    </row>
    <row r="836">
      <c r="I836" s="91"/>
    </row>
    <row r="837">
      <c r="I837" s="91"/>
    </row>
    <row r="838">
      <c r="I838" s="91"/>
    </row>
    <row r="839">
      <c r="I839" s="91"/>
    </row>
    <row r="840">
      <c r="I840" s="91"/>
    </row>
    <row r="841">
      <c r="I841" s="91"/>
    </row>
    <row r="842">
      <c r="I842" s="91"/>
    </row>
    <row r="843">
      <c r="I843" s="91"/>
    </row>
    <row r="844">
      <c r="I844" s="91"/>
    </row>
    <row r="845">
      <c r="I845" s="91"/>
    </row>
    <row r="846">
      <c r="I846" s="91"/>
    </row>
    <row r="847">
      <c r="I847" s="91"/>
    </row>
    <row r="848">
      <c r="I848" s="91"/>
    </row>
    <row r="849">
      <c r="I849" s="91"/>
    </row>
    <row r="850">
      <c r="I850" s="91"/>
    </row>
    <row r="851">
      <c r="I851" s="91"/>
    </row>
    <row r="852">
      <c r="I852" s="91"/>
    </row>
    <row r="853">
      <c r="I853" s="91"/>
    </row>
    <row r="854">
      <c r="I854" s="91"/>
    </row>
    <row r="855">
      <c r="I855" s="91"/>
    </row>
    <row r="856">
      <c r="I856" s="91"/>
    </row>
    <row r="857">
      <c r="I857" s="91"/>
    </row>
    <row r="858">
      <c r="I858" s="91"/>
    </row>
    <row r="859">
      <c r="I859" s="91"/>
    </row>
    <row r="860">
      <c r="I860" s="91"/>
    </row>
    <row r="861">
      <c r="I861" s="91"/>
    </row>
    <row r="862">
      <c r="I862" s="91"/>
    </row>
    <row r="863">
      <c r="I863" s="91"/>
    </row>
    <row r="864">
      <c r="I864" s="91"/>
    </row>
    <row r="865">
      <c r="I865" s="91"/>
    </row>
    <row r="866">
      <c r="I866" s="91"/>
    </row>
    <row r="867">
      <c r="I867" s="91"/>
    </row>
    <row r="868">
      <c r="I868" s="91"/>
    </row>
    <row r="869">
      <c r="I869" s="91"/>
    </row>
    <row r="870">
      <c r="I870" s="91"/>
    </row>
    <row r="871">
      <c r="I871" s="91"/>
    </row>
    <row r="872">
      <c r="I872" s="91"/>
    </row>
    <row r="873">
      <c r="I873" s="91"/>
    </row>
    <row r="874">
      <c r="I874" s="91"/>
    </row>
    <row r="875">
      <c r="I875" s="91"/>
    </row>
    <row r="876">
      <c r="I876" s="91"/>
    </row>
    <row r="877">
      <c r="I877" s="91"/>
    </row>
    <row r="878">
      <c r="I878" s="91"/>
    </row>
    <row r="879">
      <c r="I879" s="91"/>
    </row>
    <row r="880">
      <c r="I880" s="91"/>
    </row>
    <row r="881">
      <c r="I881" s="91"/>
    </row>
    <row r="882">
      <c r="I882" s="91"/>
    </row>
    <row r="883">
      <c r="I883" s="91"/>
    </row>
    <row r="884">
      <c r="I884" s="91"/>
    </row>
    <row r="885">
      <c r="I885" s="91"/>
    </row>
    <row r="886">
      <c r="I886" s="91"/>
    </row>
    <row r="887">
      <c r="I887" s="91"/>
    </row>
    <row r="888">
      <c r="I888" s="91"/>
    </row>
    <row r="889">
      <c r="I889" s="91"/>
    </row>
    <row r="890">
      <c r="I890" s="91"/>
    </row>
    <row r="891">
      <c r="I891" s="91"/>
    </row>
    <row r="892">
      <c r="I892" s="91"/>
    </row>
    <row r="893">
      <c r="I893" s="91"/>
    </row>
    <row r="894">
      <c r="I894" s="91"/>
    </row>
    <row r="895">
      <c r="I895" s="91"/>
    </row>
    <row r="896">
      <c r="I896" s="91"/>
    </row>
    <row r="897">
      <c r="I897" s="91"/>
    </row>
    <row r="898">
      <c r="I898" s="91"/>
    </row>
    <row r="899">
      <c r="I899" s="91"/>
    </row>
    <row r="900">
      <c r="I900" s="91"/>
    </row>
    <row r="901">
      <c r="I901" s="91"/>
    </row>
    <row r="902">
      <c r="I902" s="91"/>
    </row>
    <row r="903">
      <c r="I903" s="91"/>
    </row>
    <row r="904">
      <c r="I904" s="91"/>
    </row>
    <row r="905">
      <c r="I905" s="91"/>
    </row>
    <row r="906">
      <c r="I906" s="91"/>
    </row>
    <row r="907">
      <c r="I907" s="91"/>
    </row>
    <row r="908">
      <c r="I908" s="91"/>
    </row>
    <row r="909">
      <c r="I909" s="91"/>
    </row>
    <row r="910">
      <c r="I910" s="91"/>
    </row>
    <row r="911">
      <c r="I911" s="91"/>
    </row>
    <row r="912">
      <c r="I912" s="91"/>
    </row>
    <row r="913">
      <c r="I913" s="91"/>
    </row>
    <row r="914">
      <c r="I914" s="91"/>
    </row>
    <row r="915">
      <c r="I915" s="91"/>
    </row>
    <row r="916">
      <c r="I916" s="91"/>
    </row>
    <row r="917">
      <c r="I917" s="91"/>
    </row>
    <row r="918">
      <c r="I918" s="91"/>
    </row>
    <row r="919">
      <c r="I919" s="91"/>
    </row>
    <row r="920">
      <c r="I920" s="91"/>
    </row>
    <row r="921">
      <c r="I921" s="91"/>
    </row>
    <row r="922">
      <c r="I922" s="91"/>
    </row>
    <row r="923">
      <c r="I923" s="91"/>
    </row>
    <row r="924">
      <c r="I924" s="91"/>
    </row>
    <row r="925">
      <c r="I925" s="91"/>
    </row>
    <row r="926">
      <c r="I926" s="91"/>
    </row>
    <row r="927">
      <c r="I927" s="91"/>
    </row>
    <row r="928">
      <c r="I928" s="91"/>
    </row>
    <row r="929">
      <c r="I929" s="91"/>
    </row>
    <row r="930">
      <c r="I930" s="91"/>
    </row>
    <row r="931">
      <c r="I931" s="91"/>
    </row>
    <row r="932">
      <c r="I932" s="91"/>
    </row>
    <row r="933">
      <c r="I933" s="91"/>
    </row>
    <row r="934">
      <c r="I934" s="91"/>
    </row>
    <row r="935">
      <c r="I935" s="91"/>
    </row>
    <row r="936">
      <c r="I936" s="91"/>
    </row>
    <row r="937">
      <c r="I937" s="91"/>
    </row>
    <row r="938">
      <c r="I938" s="91"/>
    </row>
    <row r="939">
      <c r="I939" s="91"/>
    </row>
    <row r="940">
      <c r="I940" s="91"/>
    </row>
    <row r="941">
      <c r="I941" s="91"/>
    </row>
    <row r="942">
      <c r="I942" s="91"/>
    </row>
    <row r="943">
      <c r="I943" s="91"/>
    </row>
    <row r="944">
      <c r="I944" s="91"/>
    </row>
    <row r="945">
      <c r="I945" s="91"/>
    </row>
    <row r="946">
      <c r="I946" s="91"/>
    </row>
    <row r="947">
      <c r="I947" s="91"/>
    </row>
    <row r="948">
      <c r="I948" s="91"/>
    </row>
    <row r="949">
      <c r="I949" s="91"/>
    </row>
    <row r="950">
      <c r="I950" s="91"/>
    </row>
    <row r="951">
      <c r="I951" s="91"/>
    </row>
    <row r="952">
      <c r="I952" s="91"/>
    </row>
    <row r="953">
      <c r="I953" s="91"/>
    </row>
    <row r="954">
      <c r="I954" s="91"/>
    </row>
    <row r="955">
      <c r="I955" s="91"/>
    </row>
    <row r="956">
      <c r="I956" s="91"/>
    </row>
    <row r="957">
      <c r="I957" s="91"/>
    </row>
    <row r="958">
      <c r="I958" s="91"/>
    </row>
    <row r="959">
      <c r="I959" s="91"/>
    </row>
    <row r="960">
      <c r="I960" s="91"/>
    </row>
    <row r="961">
      <c r="I961" s="91"/>
    </row>
    <row r="962">
      <c r="I962" s="91"/>
    </row>
    <row r="963">
      <c r="I963" s="91"/>
    </row>
    <row r="964">
      <c r="I964" s="91"/>
    </row>
    <row r="965">
      <c r="I965" s="91"/>
    </row>
    <row r="966">
      <c r="I966" s="91"/>
    </row>
    <row r="967">
      <c r="I967" s="91"/>
    </row>
    <row r="968">
      <c r="I968" s="91"/>
    </row>
    <row r="969">
      <c r="I969" s="91"/>
    </row>
    <row r="970">
      <c r="I970" s="91"/>
    </row>
    <row r="971">
      <c r="I971" s="91"/>
    </row>
    <row r="972">
      <c r="I972" s="91"/>
    </row>
    <row r="973">
      <c r="I973" s="91"/>
    </row>
    <row r="974">
      <c r="I974" s="91"/>
    </row>
    <row r="975">
      <c r="I975" s="91"/>
    </row>
    <row r="976">
      <c r="I976" s="91"/>
    </row>
    <row r="977">
      <c r="I977" s="91"/>
    </row>
    <row r="978">
      <c r="I978" s="91"/>
    </row>
    <row r="979">
      <c r="I979" s="91"/>
    </row>
    <row r="980">
      <c r="I980" s="91"/>
    </row>
    <row r="981">
      <c r="I981" s="91"/>
    </row>
    <row r="982">
      <c r="I982" s="91"/>
    </row>
    <row r="983">
      <c r="I983" s="91"/>
    </row>
    <row r="984">
      <c r="I984" s="91"/>
    </row>
    <row r="985">
      <c r="I985" s="91"/>
    </row>
    <row r="986">
      <c r="I986" s="91"/>
    </row>
    <row r="987">
      <c r="I987" s="91"/>
    </row>
    <row r="988">
      <c r="I988" s="91"/>
    </row>
    <row r="989">
      <c r="I989" s="91"/>
    </row>
    <row r="990">
      <c r="I990" s="91"/>
    </row>
    <row r="991">
      <c r="I991" s="91"/>
    </row>
    <row r="992">
      <c r="I992" s="91"/>
    </row>
    <row r="993">
      <c r="I993" s="91"/>
    </row>
    <row r="994">
      <c r="I994" s="91"/>
    </row>
    <row r="995">
      <c r="I995" s="91"/>
    </row>
    <row r="996">
      <c r="I996" s="91"/>
    </row>
    <row r="997">
      <c r="I997" s="91"/>
    </row>
    <row r="998">
      <c r="I998" s="91"/>
    </row>
    <row r="999">
      <c r="I999" s="91"/>
    </row>
    <row r="1000">
      <c r="I1000" s="91"/>
    </row>
  </sheetData>
  <mergeCells count="3">
    <mergeCell ref="G2:H2"/>
    <mergeCell ref="G4:H4"/>
    <mergeCell ref="G11:I11"/>
  </mergeCells>
  <drawing r:id="rId1"/>
</worksheet>
</file>